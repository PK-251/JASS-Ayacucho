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f3b723a13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OS" sheetId="1" r:id="Re6f7a8e5296842d8"/>
    <x:sheet xmlns:r="http://schemas.openxmlformats.org/officeDocument/2006/relationships" name="ACTIVIDADES_BPMN" sheetId="2" r:id="R37d4a9294c4d417e"/>
    <x:sheet xmlns:r="http://schemas.openxmlformats.org/officeDocument/2006/relationships" name="FLUJO_BPMN" sheetId="3" r:id="Rd625616a1e844250"/>
    <x:sheet xmlns:r="http://schemas.openxmlformats.org/officeDocument/2006/relationships" name="REQUERIMIENTOS" sheetId="4" r:id="R8d053d24de2d4a45"/>
    <x:sheet xmlns:r="http://schemas.openxmlformats.org/officeDocument/2006/relationships" name="CONTROL_VERSIONES" sheetId="5" r:id="Rf700ff5a679c45e0"/>
    <x:sheet xmlns:r="http://schemas.openxmlformats.org/officeDocument/2006/relationships" name="AI_DLC" sheetId="6" r:id="R22ac22b0c44a48f3"/>
    <x:sheet xmlns:r="http://schemas.openxmlformats.org/officeDocument/2006/relationships" name="DEPENDENCIAS" sheetId="7" r:id="R0a71dcdeb34646e4"/>
    <x:sheet xmlns:r="http://schemas.openxmlformats.org/officeDocument/2006/relationships" name="MERGES" sheetId="8" r:id="Reac9d207719c4947"/>
    <x:sheet xmlns:r="http://schemas.openxmlformats.org/officeDocument/2006/relationships" name="HISTORIAL" sheetId="9" r:id="Re123ba713ca64d57"/>
    <x:sheet xmlns:r="http://schemas.openxmlformats.org/officeDocument/2006/relationships" name="ARTEFACTOS" sheetId="10" r:id="Re5a4019ea4de4269"/>
    <x:sheet xmlns:r="http://schemas.openxmlformats.org/officeDocument/2006/relationships" name="PMV" sheetId="11" r:id="R3b348b6d6b064f36"/>
    <x:sheet xmlns:r="http://schemas.openxmlformats.org/officeDocument/2006/relationships" name="DASHBOARD" sheetId="12" r:id="Re4aa55933f8a482b"/>
    <x:sheet xmlns:r="http://schemas.openxmlformats.org/officeDocument/2006/relationships" name="MATRIZ_DOBLE_ENTRADA" sheetId="13" r:id="R8dfd12c29aa4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color theme="1"/>
      <x:name val="Calibri"/>
    </x:font>
    <x:font>
      <x:b/>
      <x:color theme="1"/>
      <x:name val="Calibri"/>
    </x:font>
    <x:font>
      <x:color theme="1"/>
      <x:name val="Calibri"/>
    </x:font>
    <x:font>
      <x:b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4">
    <x:fill>
      <x:patternFill patternType="none"/>
    </x:fill>
    <x:fill>
      <x:patternFill patternType="lightGray"/>
    </x:fill>
    <x:fill>
      <x:patternFill patternType="solid">
        <x:fgColor rgb="FFD9EAD3"/>
      </x:patternFill>
    </x:fill>
    <x:fill>
      <x:patternFill patternType="solid">
        <x:fgColor rgb="FF1F4E78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54">
    <x:xf numFmtId="0" fontId="0" fillId="0" borderId="0" xfId="0" applyFont="1" applyAlignment="1">
      <x:alignment vertical="bottom" wrapText="0"/>
    </x:xf>
    <x:xf numFmtId="0" fontId="1" fillId="2" borderId="1" xfId="0" applyFont="1" applyFill="1" applyBorder="1"/>
    <x:xf numFmtId="0" fontId="2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bottom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bottom" wrapText="1"/>
    </x:xf>
    <x:xf numFmtId="0" fontId="5" fillId="0" borderId="6" xfId="0" applyNumberFormat="1" applyFont="1" applyFill="1" applyBorder="1" applyAlignment="1">
      <x:alignment vertical="bottom" wrapText="1"/>
    </x:xf>
    <x:xf numFmtId="0" fontId="5" fillId="0" borderId="7" xfId="0" applyNumberFormat="1" applyFont="1" applyFill="1" applyBorder="1" applyAlignment="1">
      <x:alignment vertical="bottom" wrapText="1"/>
    </x:xf>
    <x:xf numFmtId="0" fontId="5" fillId="0" borderId="8" xfId="0" applyNumberFormat="1" applyFont="1" applyFill="1" applyBorder="1" applyAlignment="1">
      <x:alignment vertical="bottom" wrapText="1"/>
    </x:xf>
    <x:xf numFmtId="0" fontId="5" fillId="0" borderId="9" xfId="0" applyNumberFormat="1" applyFont="1" applyFill="1" applyBorder="1" applyAlignment="1">
      <x:alignment vertical="bottom" wrapText="1"/>
    </x:xf>
    <x:xf numFmtId="0" fontId="5" fillId="0" borderId="10" xfId="0" applyNumberFormat="1" applyFont="1" applyFill="1" applyBorder="1" applyAlignment="1">
      <x:alignment vertical="bottom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0" fontId="5" fillId="0" borderId="6" xfId="0" applyNumberFormat="1" applyFont="1" applyFill="1" applyBorder="1" applyAlignment="1">
      <x:alignment vertical="bottom" wrapText="1"/>
    </x:xf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horizontal="center" vertical="bottom" wrapText="1"/>
    </x:xf>
    <x:xf numFmtId="0" fontId="5" fillId="0" borderId="0" xfId="0" applyNumberFormat="1" applyFont="1" applyFill="1" applyBorder="1" applyAlignment="1">
      <x:alignment vertical="bottom" wrapText="0"/>
    </x:xf>
    <x:xf numFmtId="0" fontId="5" fillId="0" borderId="5" xfId="0" applyNumberFormat="1" applyFont="1" applyFill="1" applyBorder="1" applyAlignment="1">
      <x:alignment vertical="bottom" wrapText="0"/>
    </x:xf>
    <x:xf numFmtId="0" fontId="5" fillId="0" borderId="6" xfId="0" applyNumberFormat="1" applyFont="1" applyFill="1" applyBorder="1" applyAlignment="1">
      <x:alignment vertical="bottom" wrapText="0"/>
    </x:xf>
    <x:xf numFmtId="0" fontId="5" fillId="0" borderId="7" xfId="0" applyNumberFormat="1" applyFont="1" applyFill="1" applyBorder="1" applyAlignment="1">
      <x:alignment vertical="bottom" wrapText="0"/>
    </x:xf>
    <x:xf numFmtId="0" fontId="5" fillId="0" borderId="8" xfId="0" applyNumberFormat="1" applyFont="1" applyFill="1" applyBorder="1" applyAlignment="1">
      <x:alignment vertical="bottom" wrapText="0"/>
    </x:xf>
    <x:xf numFmtId="0" fontId="5" fillId="0" borderId="9" xfId="0" applyNumberFormat="1" applyFont="1" applyFill="1" applyBorder="1" applyAlignment="1">
      <x:alignment vertical="bottom" wrapText="0"/>
    </x:xf>
    <x:xf numFmtId="0" fontId="5" fillId="0" borderId="1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2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0275e263f4192" /><Relationship Type="http://schemas.openxmlformats.org/officeDocument/2006/relationships/theme" Target="/xl/theme/theme1.xml" Id="R7da70d738d724b5a" /><Relationship Type="http://schemas.openxmlformats.org/officeDocument/2006/relationships/sharedStrings" Target="/xl/sharedStrings.xml" Id="R26ccb90560d843c5" /><Relationship Type="http://schemas.openxmlformats.org/officeDocument/2006/relationships/worksheet" Target="/xl/worksheets/sheet1.xml" Id="Re6f7a8e5296842d8" /><Relationship Type="http://schemas.openxmlformats.org/officeDocument/2006/relationships/worksheet" Target="/xl/worksheets/sheet2.xml" Id="R37d4a9294c4d417e" /><Relationship Type="http://schemas.openxmlformats.org/officeDocument/2006/relationships/worksheet" Target="/xl/worksheets/sheet3.xml" Id="Rd625616a1e844250" /><Relationship Type="http://schemas.openxmlformats.org/officeDocument/2006/relationships/worksheet" Target="/xl/worksheets/sheet4.xml" Id="R8d053d24de2d4a45" /><Relationship Type="http://schemas.openxmlformats.org/officeDocument/2006/relationships/worksheet" Target="/xl/worksheets/sheet5.xml" Id="Rf700ff5a679c45e0" /><Relationship Type="http://schemas.openxmlformats.org/officeDocument/2006/relationships/worksheet" Target="/xl/worksheets/sheet6.xml" Id="R22ac22b0c44a48f3" /><Relationship Type="http://schemas.openxmlformats.org/officeDocument/2006/relationships/worksheet" Target="/xl/worksheets/sheet7.xml" Id="R0a71dcdeb34646e4" /><Relationship Type="http://schemas.openxmlformats.org/officeDocument/2006/relationships/worksheet" Target="/xl/worksheets/sheet8.xml" Id="Reac9d207719c4947" /><Relationship Type="http://schemas.openxmlformats.org/officeDocument/2006/relationships/worksheet" Target="/xl/worksheets/sheet9.xml" Id="Re123ba713ca64d57" /><Relationship Type="http://schemas.openxmlformats.org/officeDocument/2006/relationships/worksheet" Target="/xl/worksheets/sheet10.xml" Id="Re5a4019ea4de4269" /><Relationship Type="http://schemas.openxmlformats.org/officeDocument/2006/relationships/worksheet" Target="/xl/worksheets/sheet11.xml" Id="R3b348b6d6b064f36" /><Relationship Type="http://schemas.openxmlformats.org/officeDocument/2006/relationships/worksheet" Target="/xl/worksheets/sheet12.xml" Id="Re4aa55933f8a482b" /><Relationship Type="http://schemas.openxmlformats.org/officeDocument/2006/relationships/worksheet" Target="/xl/worksheets/sheet13.xml" Id="R8dfd12c29aa44512" /></Relationships>
</file>

<file path=xl/tables/table1.xml><?xml version="1.0" encoding="utf-8"?>
<x:table xmlns:x="http://schemas.openxmlformats.org/spreadsheetml/2006/main" id="1" name="Tbl_PROCESOS_0" displayName="Tbl_PROCESOS_0" ref="A1:H10" headerRowCount="1">
  <x:tableColumns count="8">
    <x:tableColumn id="1" name="ID_PROCESO"/>
    <x:tableColumn id="2" name="TIPO_PROCESO"/>
    <x:tableColumn id="3" name="NOMBRE_PROCESO"/>
    <x:tableColumn id="4" name="RAMA_GIT"/>
    <x:tableColumn id="5" name="RESPONSABLE"/>
    <x:tableColumn id="6" name="ESTADO"/>
    <x:tableColumn id="7" name="VERSION_ACTUAL"/>
    <x:tableColumn id="8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bl_ACTIVIDADESBPMN_1" displayName="Tbl_ACTIVIDADESBPMN_1" ref="A1:G19" headerRowCount="1">
  <x:tableColumns count="7">
    <x:tableColumn id="1" name="ID_BOLT"/>
    <x:tableColumn id="2" name="ID_PROCESO"/>
    <x:tableColumn id="3" name="ACTIVIDAD_BPMN"/>
    <x:tableColumn id="4" name="ROL_RESPONSABLE"/>
    <x:tableColumn id="5" name="TIPO_ACTIVIDAD"/>
    <x:tableColumn id="6" name="DESCRIPCION"/>
    <x:tableColumn id="7" name="MODULO_AFECTADO"/>
  </x:tableColumns>
  <x:tableStyleInfo name="TableStyleMedium2" showRowStripes="1"/>
</x:table>
</file>

<file path=xl/tables/table3.xml><?xml version="1.0" encoding="utf-8"?>
<x:table xmlns:x="http://schemas.openxmlformats.org/spreadsheetml/2006/main" id="3" name="Tbl_FLUJOBPMN_2" displayName="Tbl_FLUJOBPMN_2" ref="A1:G18" headerRowCount="1">
  <x:tableColumns count="7">
    <x:tableColumn id="1" name="ID_NODO"/>
    <x:tableColumn id="2" name="ID_PROCESO"/>
    <x:tableColumn id="3" name="TIPO_NODO(EVENTO/GATEWAY/ACTIVIDAD)"/>
    <x:tableColumn id="4" name="NOMBRE"/>
    <x:tableColumn id="5" name="NODO_ORIGEN"/>
    <x:tableColumn id="6" name="NODO_DESTINO"/>
    <x:tableColumn id="7" name="CONDICION"/>
  </x:tableColumns>
  <x:tableStyleInfo name="TableStyleMedium2" showRowStripes="1"/>
</x:table>
</file>

<file path=xl/tables/table4.xml><?xml version="1.0" encoding="utf-8"?>
<x:table xmlns:x="http://schemas.openxmlformats.org/spreadsheetml/2006/main" id="4" name="Tbl_REQUERIMIENTOS_3" displayName="Tbl_REQUERIMIENTOS_3" ref="A1:G25" headerRowCount="1">
  <x:tableColumns count="7">
    <x:tableColumn id="1" name="ID_REQUERIMIENTO"/>
    <x:tableColumn id="2" name="TIPO(RF/RNF)"/>
    <x:tableColumn id="3" name="DESCRIPCION"/>
    <x:tableColumn id="4" name="PRIORIDAD"/>
    <x:tableColumn id="5" name="PMV"/>
    <x:tableColumn id="6" name="ESTADO"/>
    <x:tableColumn id="7" name="ID_BOLT_RELACIONADO"/>
  </x:tableColumns>
  <x:tableStyleInfo name="TableStyleMedium2" showRowStripes="1"/>
</x:table>
</file>

<file path=xl/tables/table5.xml><?xml version="1.0" encoding="utf-8"?>
<x:table xmlns:x="http://schemas.openxmlformats.org/spreadsheetml/2006/main" id="5" name="Tbl_CONTROLVERSIONES_4" displayName="Tbl_CONTROLVERSIONES_4" ref="A1:P9" headerRowCount="1">
  <x:tableColumns count="16">
    <x:tableColumn id="1" name="ID_REGISTRO"/>
    <x:tableColumn id="2" name="ID_BOLT"/>
    <x:tableColumn id="3" name="BOLT_PADRE"/>
    <x:tableColumn id="4" name="VERSION"/>
    <x:tableColumn id="5" name="TIPO_CAMBIO"/>
    <x:tableColumn id="6" name="ESTADO_BOLT"/>
    <x:tableColumn id="7" name="ESTADO_INTEGRACION"/>
    <x:tableColumn id="8" name="FECHA"/>
    <x:tableColumn id="9" name="RESPONSABLE"/>
    <x:tableColumn id="10" name="AGENTE_RESPONSABLE"/>
    <x:tableColumn id="11" name="COMMIT"/>
    <x:tableColumn id="12" name="PULL_REQUEST"/>
    <x:tableColumn id="13" name="FUENTE"/>
    <x:tableColumn id="14" name="CONFIANZA"/>
    <x:tableColumn id="15" name="REQUIERE_REVISION_HUMANA"/>
    <x:tableColumn id="16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Tbl_AIDLC_5" displayName="Tbl_AIDLC_5" ref="A1:I13" headerRowCount="1">
  <x:tableColumns count="9">
    <x:tableColumn id="1" name="ID_BOLT"/>
    <x:tableColumn id="2" name="INTENT"/>
    <x:tableColumn id="3" name="REQUERIMIENTO"/>
    <x:tableColumn id="4" name="DISEÑO"/>
    <x:tableColumn id="5" name="DESARROLLO"/>
    <x:tableColumn id="6" name="QA"/>
    <x:tableColumn id="7" name="PRODUCCION"/>
    <x:tableColumn id="8" name="RESULTADO"/>
    <x:tableColumn id="9" name="ULTIMA_ACTUALIZACION"/>
  </x:tableColumns>
  <x:tableStyleInfo name="TableStyleMedium2" showRowStripes="1"/>
</x:table>
</file>

<file path=xl/tables/table7.xml><?xml version="1.0" encoding="utf-8"?>
<x:table xmlns:x="http://schemas.openxmlformats.org/spreadsheetml/2006/main" id="7" name="Tbl_DEPENDENCIAS_6" displayName="Tbl_DEPENDENCIAS_6" ref="A1:E17" headerRowCount="1">
  <x:tableColumns count="5">
    <x:tableColumn id="1" name="ID_BOLT"/>
    <x:tableColumn id="2" name="DEPENDE_DE"/>
    <x:tableColumn id="3" name="TIPO_DEPENDENCIA"/>
    <x:tableColumn id="4" name="IMPACTO"/>
    <x:tableColumn id="5" name="OBSERVACION"/>
  </x:tableColumns>
  <x:tableStyleInfo name="TableStyleMedium2" showRowStripes="1"/>
</x:table>
</file>

<file path=xl/tables/table8.xml><?xml version="1.0" encoding="utf-8"?>
<x:table xmlns:x="http://schemas.openxmlformats.org/spreadsheetml/2006/main" id="8" name="Tbl_MERGES_7" displayName="Tbl_MERGES_7" ref="A1:H10" headerRowCount="1">
  <x:tableColumns count="8">
    <x:tableColumn id="1" name="MERGE_ID"/>
    <x:tableColumn id="2" name="TIPO_MERGE"/>
    <x:tableColumn id="3" name="RAMA_ORIGEN"/>
    <x:tableColumn id="4" name="RAMA_DESTINO"/>
    <x:tableColumn id="5" name="FECHA"/>
    <x:tableColumn id="6" name="RESPONSABLE"/>
    <x:tableColumn id="7" name="ESTADO"/>
    <x:tableColumn id="8" name="OBSERVACION"/>
  </x:tableColumns>
  <x:tableStyleInfo name="TableStyleMedium2" showRowStripes="1"/>
</x:table>
</file>

<file path=xl/tables/table9.xml><?xml version="1.0" encoding="utf-8"?>
<x:table xmlns:x="http://schemas.openxmlformats.org/spreadsheetml/2006/main" id="9" name="Tbl_HISTORIAL_8" displayName="Tbl_HISTORIAL_8" ref="A1:G11" headerRowCount="1">
  <x:tableColumns count="7">
    <x:tableColumn id="1" name="FECHA"/>
    <x:tableColumn id="2" name="ID_BOLT"/>
    <x:tableColumn id="3" name="VERSION"/>
    <x:tableColumn id="4" name="EVENTO"/>
    <x:tableColumn id="5" name="DESCRIPCION_CAMBIO"/>
    <x:tableColumn id="6" name="AGENTE"/>
    <x:tableColumn id="7" name="RESPONSABLE"/>
  </x:tableColumns>
  <x:tableStyleInfo name="TableStyleMedium2" showRowStripes="1"/>
</x:table>
</file>

<file path=xl/tables/table10.xml><?xml version="1.0" encoding="utf-8"?>
<x:table xmlns:x="http://schemas.openxmlformats.org/spreadsheetml/2006/main" id="10" name="Tbl_ARTEFACTOS_9" displayName="Tbl_ARTEFACTOS_9" ref="A1:G10" headerRowCount="1">
  <x:tableColumns count="7">
    <x:tableColumn id="1" name="ID_ARTEFACTO"/>
    <x:tableColumn id="2" name="TIPO_ARTEFACTO"/>
    <x:tableColumn id="3" name="ID_BOLT"/>
    <x:tableColumn id="4" name="NOMBRE"/>
    <x:tableColumn id="5" name="RUTA_URL"/>
    <x:tableColumn id="6" name="VERSION"/>
    <x:tableColumn id="7" name="OBSERVACION"/>
  </x:tableColumns>
  <x:tableStyleInfo name="TableStyleMedium2" showRowStripes="1"/>
</x:table>
</file>

<file path=xl/tables/table11.xml><?xml version="1.0" encoding="utf-8"?>
<x:table xmlns:x="http://schemas.openxmlformats.org/spreadsheetml/2006/main" id="11" name="Tbl_PMV_10" displayName="Tbl_PMV_10" ref="A1:F10" headerRowCount="1">
  <x:tableColumns count="6">
    <x:tableColumn id="1" name="ID_PMV"/>
    <x:tableColumn id="2" name="NOMBRE_PMV"/>
    <x:tableColumn id="3" name="ID_BOLT"/>
    <x:tableColumn id="4" name="MODULO"/>
    <x:tableColumn id="5" name="ESTADO"/>
    <x:tableColumn id="6" name="OBSERVACION"/>
  </x:tableColumns>
  <x:tableStyleInfo name="TableStyleMedium2" showRowStripes="1"/>
</x:table>
</file>

<file path=xl/tables/table12.xml><?xml version="1.0" encoding="utf-8"?>
<x:table xmlns:x="http://schemas.openxmlformats.org/spreadsheetml/2006/main" id="12" name="Tbl_MATRIZDOBLEENTRADA_11" displayName="Tbl_MATRIZDOBLEENTRADA_11" ref="A1:K20" headerRowCount="1">
  <x:tableColumns count="11">
    <x:tableColumn id="1" name="CÓDIGO"/>
    <x:tableColumn id="2" name="CRITERIO / VARIABLE"/>
    <x:tableColumn id="3" name="Informe"/>
    <x:tableColumn id="4" name="Plan pruebas"/>
    <x:tableColumn id="5" name="Plan detallado ISO"/>
    <x:tableColumn id="6" name="Presentación"/>
    <x:tableColumn id="7" name="Estado arte V0"/>
    <x:tableColumn id="8" name="Estado arte V1"/>
    <x:tableColumn id="9" name="Pruebas manuales"/>
    <x:tableColumn id="10" name="Repositorio"/>
    <x:tableColumn id="11" name="OBSERVACIÓN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753374420245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a9f7cdb03c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9dc94f1d51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2876ccc3b14f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74c0d0c61046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dfad5512e547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de298ccf1b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2dd3b742b5547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6ddd9653eaa45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a0bfab4b35f46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181adbde15146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973fc0de95e43d8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6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38" hidden="0" customWidth="1"/>
    <x:col min="9" max="26" width="8.710000038146973" customWidth="1"/>
  </x:cols>
  <x:sheetData>
    <x:row r="1" ht="15" hidden="0" customHeight="1">
      <x:c r="A1" s="19" t="str">
        <x:v>ID_PROCESO</x:v>
      </x:c>
      <x:c r="B1" s="20" t="str">
        <x:v>TIPO_PROCESO</x:v>
      </x:c>
      <x:c r="C1" s="20" t="str">
        <x:v>NOMBRE_PROCESO</x:v>
      </x:c>
      <x:c r="D1" s="20" t="str">
        <x:v>RAMA_GIT</x:v>
      </x:c>
      <x:c r="E1" s="20" t="str">
        <x:v>RESPONSABLE</x:v>
      </x:c>
      <x:c r="F1" s="20" t="str">
        <x:v>ESTADO</x:v>
      </x:c>
      <x:c r="G1" s="20" t="str">
        <x:v>VERSION_ACTUAL</x:v>
      </x:c>
      <x:c r="H1" s="21" t="str">
        <x:v>OBSERVACIONES</x:v>
      </x:c>
    </x:row>
    <x:row r="2" ht="24" hidden="0" customHeight="1">
      <x:c r="A2" s="31" t="str">
        <x:v>P-001</x:v>
      </x:c>
      <x:c r="B2" s="32" t="str">
        <x:v>Estratégico</x:v>
      </x:c>
      <x:c r="C2" s="32" t="str">
        <x:v>Gestión del proyecto y aseguramiento de calidad</x:v>
      </x:c>
      <x:c r="D2" s="32" t="str">
        <x:v>main / develop</x:v>
      </x:c>
      <x:c r="E2" s="32" t="str">
        <x:v>Huanca Asto Joacim / Lindo Torres Raul</x:v>
      </x:c>
      <x:c r="F2" s="32" t="str">
        <x:v>En desarrollo</x:v>
      </x:c>
      <x:c r="G2" s="32" t="str">
        <x:v>2.0</x:v>
      </x:c>
      <x:c r="H2" s="33" t="str">
        <x:v>Planificación, control de calidad y alineación con ISO 9001, ISO/IEC 25000, ISO/IEC 29119 e ISO/IEC 27000.</x:v>
      </x:c>
    </x:row>
    <x:row r="3" ht="36" hidden="0" customHeight="1">
      <x:c r="A3" s="31" t="str">
        <x:v>P-002</x:v>
      </x:c>
      <x:c r="B3" s="32" t="str">
        <x:v>Misional</x:v>
      </x:c>
      <x:c r="C3" s="32" t="str">
        <x:v>Gestión del cobro mensual de agua potable</x:v>
      </x:c>
      <x:c r="D3" s="32" t="str">
        <x:v>feature/cobros</x:v>
      </x:c>
      <x:c r="E3" s="32" t="str">
        <x:v>Operador / Cajero JASS</x:v>
      </x:c>
      <x:c r="F3" s="32" t="str">
        <x:v>Diseñado</x:v>
      </x:c>
      <x:c r="G3" s="32" t="str">
        <x:v>1.0</x:v>
      </x:c>
      <x:c r="H3" s="33" t="str">
        <x:v>Proceso central TO-BE: búsqueda del usuario, cálculo automático, registro digital del pago y generación de comprobante.</x:v>
      </x:c>
    </x:row>
    <x:row r="4" ht="24" hidden="0" customHeight="1">
      <x:c r="A4" s="31" t="str">
        <x:v>P-003</x:v>
      </x:c>
      <x:c r="B4" s="32" t="str">
        <x:v>Misional</x:v>
      </x:c>
      <x:c r="C4" s="32" t="str">
        <x:v>Gestión del padrón de usuarios</x:v>
      </x:c>
      <x:c r="D4" s="32" t="str">
        <x:v>feature/usuarios</x:v>
      </x:c>
      <x:c r="E4" s="32" t="str">
        <x:v>Administrador JASS</x:v>
      </x:c>
      <x:c r="F4" s="32" t="str">
        <x:v>Diseñado</x:v>
      </x:c>
      <x:c r="G4" s="32" t="str">
        <x:v>1.0</x:v>
      </x:c>
      <x:c r="H4" s="33" t="str">
        <x:v>Administración de usuarios del padrón del distrito de Sara-Sara y consulta de estado de cuenta.</x:v>
      </x:c>
    </x:row>
    <x:row r="5" ht="24" hidden="0" customHeight="1">
      <x:c r="A5" s="31" t="str">
        <x:v>P-004</x:v>
      </x:c>
      <x:c r="B5" s="32" t="str">
        <x:v>Misional</x:v>
      </x:c>
      <x:c r="C5" s="32" t="str">
        <x:v>Reportes y rendición mensual</x:v>
      </x:c>
      <x:c r="D5" s="32" t="str">
        <x:v>feature/reportes</x:v>
      </x:c>
      <x:c r="E5" s="32" t="str">
        <x:v>Administrador JASS</x:v>
      </x:c>
      <x:c r="F5" s="32" t="str">
        <x:v>Diseñado</x:v>
      </x:c>
      <x:c r="G5" s="32" t="str">
        <x:v>1.0</x:v>
      </x:c>
      <x:c r="H5" s="33" t="str">
        <x:v>Consolidación automática de ingresos, egresos, pendientes y balance para rendición comunitaria.</x:v>
      </x:c>
    </x:row>
    <x:row r="6" ht="24" hidden="0" customHeight="1">
      <x:c r="A6" s="31" t="str">
        <x:v>P-005</x:v>
      </x:c>
      <x:c r="B6" s="32" t="str">
        <x:v>Apoyo</x:v>
      </x:c>
      <x:c r="C6" s="32" t="str">
        <x:v>Gestión de multas y tarifas</x:v>
      </x:c>
      <x:c r="D6" s="32" t="str">
        <x:v>feature/multas-tarifas</x:v>
      </x:c>
      <x:c r="E6" s="32" t="str">
        <x:v>Administrador JASS</x:v>
      </x:c>
      <x:c r="F6" s="32" t="str">
        <x:v>Pendiente</x:v>
      </x:c>
      <x:c r="G6" s="32" t="str">
        <x:v>1.0</x:v>
      </x:c>
      <x:c r="H6" s="33" t="str">
        <x:v>Configuración de cuotas, multas activas y reglas de cálculo de cobranza.</x:v>
      </x:c>
    </x:row>
    <x:row r="7" ht="24" hidden="0" customHeight="1">
      <x:c r="A7" s="31" t="str">
        <x:v>P-006</x:v>
      </x:c>
      <x:c r="B7" s="32" t="str">
        <x:v>Apoyo</x:v>
      </x:c>
      <x:c r="C7" s="32" t="str">
        <x:v>Gestión de egresos operativos</x:v>
      </x:c>
      <x:c r="D7" s="32" t="str">
        <x:v>feature/egresos</x:v>
      </x:c>
      <x:c r="E7" s="32" t="str">
        <x:v>Administrador / Operador JASS</x:v>
      </x:c>
      <x:c r="F7" s="32" t="str">
        <x:v>Pendiente</x:v>
      </x:c>
      <x:c r="G7" s="32" t="str">
        <x:v>1.0</x:v>
      </x:c>
      <x:c r="H7" s="33" t="str">
        <x:v>Registro categorizado de gastos operativos e incorporación automática al balance mensual.</x:v>
      </x:c>
    </x:row>
    <x:row r="8" ht="24" hidden="0" customHeight="1">
      <x:c r="A8" s="31" t="str">
        <x:v>P-007</x:v>
      </x:c>
      <x:c r="B8" s="32" t="str">
        <x:v>Apoyo</x:v>
      </x:c>
      <x:c r="C8" s="32" t="str">
        <x:v>Autenticación, roles y seguridad de acceso</x:v>
      </x:c>
      <x:c r="D8" s="32" t="str">
        <x:v>feature/auth</x:v>
      </x:c>
      <x:c r="E8" s="32" t="str">
        <x:v>Equipo de desarrollo / QA</x:v>
      </x:c>
      <x:c r="F8" s="32" t="str">
        <x:v>Diseñado</x:v>
      </x:c>
      <x:c r="G8" s="32" t="str">
        <x:v>1.0</x:v>
      </x:c>
      <x:c r="H8" s="33" t="str">
        <x:v>Login con roles administrador y operador, bloqueo por intentos fallidos, sesión por inactividad y tokens REST.</x:v>
      </x:c>
    </x:row>
    <x:row r="9" ht="24" hidden="0" customHeight="1">
      <x:c r="A9" s="31" t="str">
        <x:v>P-008</x:v>
      </x:c>
      <x:c r="B9" s="32" t="str">
        <x:v>Apoyo</x:v>
      </x:c>
      <x:c r="C9" s="32" t="str">
        <x:v>Pruebas de software y métricas de calidad</x:v>
      </x:c>
      <x:c r="D9" s="32" t="str">
        <x:v>test/e2e</x:v>
      </x:c>
      <x:c r="E9" s="32" t="str">
        <x:v>Lindo Torres Raul</x:v>
      </x:c>
      <x:c r="F9" s="32" t="str">
        <x:v>Planificado</x:v>
      </x:c>
      <x:c r="G9" s="32" t="str">
        <x:v>2.0</x:v>
      </x:c>
      <x:c r="H9" s="33" t="str">
        <x:v>Pruebas unitarias, integración, sistema, E2E con Cypress, carga con k6 y cobertura objetivo de 80%.</x:v>
      </x:c>
    </x:row>
    <x:row r="10" ht="24" hidden="0" customHeight="1">
      <x:c r="A10" s="34" t="str">
        <x:v>P-009</x:v>
      </x:c>
      <x:c r="B10" s="35" t="str">
        <x:v>Apoyo</x:v>
      </x:c>
      <x:c r="C10" s="35" t="str">
        <x:v>Dockerización y despliegue técnico</x:v>
      </x:c>
      <x:c r="D10" s="35" t="str">
        <x:v>feature/docker</x:v>
      </x:c>
      <x:c r="E10" s="35" t="str">
        <x:v>Equipo técnico</x:v>
      </x:c>
      <x:c r="F10" s="35" t="str">
        <x:v>Planificado</x:v>
      </x:c>
      <x:c r="G10" s="35" t="str">
        <x:v>1.0</x:v>
      </x:c>
      <x:c r="H10" s="36" t="str">
        <x:v>Servicios app, web, db y queue con Docker Compose, Nginx, Laravel/PHP-FPM y MariaDB.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sqref="F2:F10">
      <x:formula1>"Definido,Diseñado,En desarrollo,Planificado,Pendiente,Activo,Completado,Rechazado,En revisión"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753374420245e4"/>
  </x:tableParts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6" hidden="0" customWidth="1"/>
    <x:col min="2" max="2" width="16" hidden="0" customWidth="1"/>
    <x:col min="3" max="4" width="21.56999969482422" customWidth="1"/>
    <x:col min="5" max="5" width="18" hidden="0" customWidth="1"/>
    <x:col min="6" max="6" width="38" hidden="0" customWidth="1"/>
    <x:col min="7" max="7" width="18" hidden="0" customWidth="1"/>
    <x:col min="8" max="26" width="8.710000038146973" customWidth="1"/>
    <x:col min="3" max="3" width="28" hidden="0" customWidth="1"/>
    <x:col min="4" max="4" width="18" hidden="0" customWidth="1"/>
  </x:cols>
  <x:sheetData>
    <x:row r="1" ht="15" hidden="0" customHeight="1">
      <x:c r="A1" s="19" t="str">
        <x:v>ID_BOLT</x:v>
      </x:c>
      <x:c r="B1" s="20" t="str">
        <x:v>ID_PROCESO</x:v>
      </x:c>
      <x:c r="C1" s="20" t="str">
        <x:v>ACTIVIDAD_BPMN</x:v>
      </x:c>
      <x:c r="D1" s="20" t="str">
        <x:v>ROL_RESPONSABLE</x:v>
      </x:c>
      <x:c r="E1" s="20" t="str">
        <x:v>TIPO_ACTIVIDAD</x:v>
      </x:c>
      <x:c r="F1" s="20" t="str">
        <x:v>DESCRIPCION</x:v>
      </x:c>
      <x:c r="G1" s="21" t="str">
        <x:v>MODULO_AFECTADO</x:v>
      </x:c>
    </x:row>
    <x:row r="2" ht="24" hidden="0" customHeight="1">
      <x:c r="A2" s="31" t="str">
        <x:v>BOLT-001</x:v>
      </x:c>
      <x:c r="B2" s="32" t="str">
        <x:v>P-007</x:v>
      </x:c>
      <x:c r="C2" s="32" t="str">
        <x:v>Iniciar sesión en el sistema web</x:v>
      </x:c>
      <x:c r="D2" s="32" t="str">
        <x:v>Operador / Administrador</x:v>
      </x:c>
      <x:c r="E2" s="32" t="str">
        <x:v>Automatizada con validación</x:v>
      </x:c>
      <x:c r="F2" s="32" t="str">
        <x:v>El actor ingresa usuario y contraseña; el sistema valida credenciales y rol.</x:v>
      </x:c>
      <x:c r="G2" s="33" t="str">
        <x:v>RF-01 / CU-01</x:v>
      </x:c>
    </x:row>
    <x:row r="3" ht="24" hidden="0" customHeight="1">
      <x:c r="A3" s="31" t="str">
        <x:v>BOLT-002</x:v>
      </x:c>
      <x:c r="B3" s="32" t="str">
        <x:v>P-002</x:v>
      </x:c>
      <x:c r="C3" s="32" t="str">
        <x:v>Cargar lista de usuarios con deuda calculada</x:v>
      </x:c>
      <x:c r="D3" s="32" t="str">
        <x:v>Sistema</x:v>
      </x:c>
      <x:c r="E3" s="32" t="str">
        <x:v>Automática</x:v>
      </x:c>
      <x:c r="F3" s="32" t="str">
        <x:v>Al iniciar sesión se precalcula la deuda total y se muestra la lista filtrable por estado y barrio.</x:v>
      </x:c>
      <x:c r="G3" s="33" t="str">
        <x:v>RF-02 / CU-03</x:v>
      </x:c>
    </x:row>
    <x:row r="4" ht="24" hidden="0" customHeight="1">
      <x:c r="A4" s="31" t="str">
        <x:v>BOLT-003</x:v>
      </x:c>
      <x:c r="B4" s="32" t="str">
        <x:v>P-002</x:v>
      </x:c>
      <x:c r="C4" s="32" t="str">
        <x:v>Buscar usuario por nombre o código</x:v>
      </x:c>
      <x:c r="D4" s="32" t="str">
        <x:v>Operador JASS</x:v>
      </x:c>
      <x:c r="E4" s="32" t="str">
        <x:v>Interactiva</x:v>
      </x:c>
      <x:c r="F4" s="32" t="str">
        <x:v>Búsqueda digital en tiempo real y visualización del perfil con historial de pagos.</x:v>
      </x:c>
      <x:c r="G4" s="33" t="str">
        <x:v>RF-03 / CU-04</x:v>
      </x:c>
    </x:row>
    <x:row r="5" ht="24" hidden="0" customHeight="1">
      <x:c r="A5" s="31" t="str">
        <x:v>BOLT-004</x:v>
      </x:c>
      <x:c r="B5" s="32" t="str">
        <x:v>P-002</x:v>
      </x:c>
      <x:c r="C5" s="32" t="str">
        <x:v>Calcular monto total a cobrar</x:v>
      </x:c>
      <x:c r="D5" s="32" t="str">
        <x:v>Sistema</x:v>
      </x:c>
      <x:c r="E5" s="32" t="str">
        <x:v>Automática</x:v>
      </x:c>
      <x:c r="F5" s="32" t="str">
        <x:v>El backend calcula cuota mensual, meses pendientes, deudas acumuladas y multas activas.</x:v>
      </x:c>
      <x:c r="G5" s="33" t="str">
        <x:v>RF-04 / CU-05</x:v>
      </x:c>
    </x:row>
    <x:row r="6" ht="24" hidden="0" customHeight="1">
      <x:c r="A6" s="31" t="str">
        <x:v>BOLT-005</x:v>
      </x:c>
      <x:c r="B6" s="32" t="str">
        <x:v>P-002</x:v>
      </x:c>
      <x:c r="C6" s="32" t="str">
        <x:v>Registrar pago confirmado</x:v>
      </x:c>
      <x:c r="D6" s="32" t="str">
        <x:v>Operador JASS / Sistema</x:v>
      </x:c>
      <x:c r="E6" s="32" t="str">
        <x:v>Transaccional</x:v>
      </x:c>
      <x:c r="F6" s="32" t="str">
        <x:v>Se registra el pago en MariaDB, se actualiza el estado del usuario y se genera ingreso contable.</x:v>
      </x:c>
      <x:c r="G6" s="33" t="str">
        <x:v>RF-05 / CU-06</x:v>
      </x:c>
    </x:row>
    <x:row r="7" ht="36" hidden="0" customHeight="1">
      <x:c r="A7" s="31" t="str">
        <x:v>BOLT-006</x:v>
      </x:c>
      <x:c r="B7" s="32" t="str">
        <x:v>P-002</x:v>
      </x:c>
      <x:c r="C7" s="32" t="str">
        <x:v>Registrar usuario como pendiente</x:v>
      </x:c>
      <x:c r="D7" s="32" t="str">
        <x:v>Sistema</x:v>
      </x:c>
      <x:c r="E7" s="32" t="str">
        <x:v>Automática</x:v>
      </x:c>
      <x:c r="F7" s="32" t="str">
        <x:v>Si no existe cobro confirmado, el sistema marca el estado PENDIENTE e incrementa deuda para el siguiente ciclo.</x:v>
      </x:c>
      <x:c r="G7" s="33" t="str">
        <x:v>RF-06 / CU-07</x:v>
      </x:c>
    </x:row>
    <x:row r="8" ht="24" hidden="0" customHeight="1">
      <x:c r="A8" s="31" t="str">
        <x:v>BOLT-007</x:v>
      </x:c>
      <x:c r="B8" s="32" t="str">
        <x:v>P-002</x:v>
      </x:c>
      <x:c r="C8" s="32" t="str">
        <x:v>Generar comprobante PDF</x:v>
      </x:c>
      <x:c r="D8" s="32" t="str">
        <x:v>Sistema</x:v>
      </x:c>
      <x:c r="E8" s="32" t="str">
        <x:v>Automática</x:v>
      </x:c>
      <x:c r="F8" s="32" t="str">
        <x:v>Creación de comprobante PDF con serie única, datos del usuario, desglose y código QR.</x:v>
      </x:c>
      <x:c r="G8" s="33" t="str">
        <x:v>RF-07 / CU-08</x:v>
      </x:c>
    </x:row>
    <x:row r="9" ht="24" hidden="0" customHeight="1">
      <x:c r="A9" s="31" t="str">
        <x:v>BOLT-008</x:v>
      </x:c>
      <x:c r="B9" s="32" t="str">
        <x:v>P-002</x:v>
      </x:c>
      <x:c r="C9" s="32" t="str">
        <x:v>Entregar comprobante al usuario</x:v>
      </x:c>
      <x:c r="D9" s="32" t="str">
        <x:v>Operador JASS / Usuario</x:v>
      </x:c>
      <x:c r="E9" s="32" t="str">
        <x:v>Manual asistida</x:v>
      </x:c>
      <x:c r="F9" s="32" t="str">
        <x:v>Entrega impresa o digital y registro de modalidad en el historial.</x:v>
      </x:c>
      <x:c r="G9" s="33" t="str">
        <x:v>RF-08 / CU-09</x:v>
      </x:c>
    </x:row>
    <x:row r="10" ht="24" hidden="0" customHeight="1">
      <x:c r="A10" s="31" t="str">
        <x:v>BOLT-009</x:v>
      </x:c>
      <x:c r="B10" s="32" t="str">
        <x:v>P-004</x:v>
      </x:c>
      <x:c r="C10" s="32" t="str">
        <x:v>Generar reporte mensual automático</x:v>
      </x:c>
      <x:c r="D10" s="32" t="str">
        <x:v>Sistema</x:v>
      </x:c>
      <x:c r="E10" s="32" t="str">
        <x:v>Automática</x:v>
      </x:c>
      <x:c r="F10" s="32" t="str">
        <x:v>Consolidación de ingresos, egresos, deudas pendientes, balance y comparativa mensual.</x:v>
      </x:c>
      <x:c r="G10" s="33" t="str">
        <x:v>RF-09 / CU-11</x:v>
      </x:c>
    </x:row>
    <x:row r="11" ht="24" hidden="0" customHeight="1">
      <x:c r="A11" s="31" t="str">
        <x:v>BOLT-010</x:v>
      </x:c>
      <x:c r="B11" s="32" t="str">
        <x:v>P-004</x:v>
      </x:c>
      <x:c r="C11" s="32" t="str">
        <x:v>Validar y aprobar reporte mensual</x:v>
      </x:c>
      <x:c r="D11" s="32" t="str">
        <x:v>Administrador / Operador</x:v>
      </x:c>
      <x:c r="E11" s="32" t="str">
        <x:v>Control</x:v>
      </x:c>
      <x:c r="F11" s="32" t="str">
        <x:v>Revisión, aprobación y exportación del reporte oficial para rendición de cuentas.</x:v>
      </x:c>
      <x:c r="G11" s="33" t="str">
        <x:v>RF-10 / CU-12</x:v>
      </x:c>
    </x:row>
    <x:row r="12" ht="24" hidden="0" customHeight="1">
      <x:c r="A12" s="31" t="str">
        <x:v>BOLT-011</x:v>
      </x:c>
      <x:c r="B12" s="32" t="str">
        <x:v>P-005</x:v>
      </x:c>
      <x:c r="C12" s="32" t="str">
        <x:v>Gestionar multas y tarifas</x:v>
      </x:c>
      <x:c r="D12" s="32" t="str">
        <x:v>Administrador JASS</x:v>
      </x:c>
      <x:c r="E12" s="32" t="str">
        <x:v>CRUD administrativo</x:v>
      </x:c>
      <x:c r="F12" s="32" t="str">
        <x:v>Crear, consultar, actualizar y eliminar multas y tarifas aplicables a cálculos de cobro.</x:v>
      </x:c>
      <x:c r="G12" s="33" t="str">
        <x:v>RF-11 / CU-13</x:v>
      </x:c>
    </x:row>
    <x:row r="13" ht="24" hidden="0" customHeight="1">
      <x:c r="A13" s="31" t="str">
        <x:v>BOLT-012</x:v>
      </x:c>
      <x:c r="B13" s="32" t="str">
        <x:v>P-006</x:v>
      </x:c>
      <x:c r="C13" s="32" t="str">
        <x:v>Registrar egresos operativos</x:v>
      </x:c>
      <x:c r="D13" s="32" t="str">
        <x:v>Administrador / Operador</x:v>
      </x:c>
      <x:c r="E13" s="32" t="str">
        <x:v>CRUD administrativo</x:v>
      </x:c>
      <x:c r="F13" s="32" t="str">
        <x:v>Registro categorizado de gastos de operación para su inclusión en reportes.</x:v>
      </x:c>
      <x:c r="G13" s="33" t="str">
        <x:v>RF-12 / CU-14</x:v>
      </x:c>
    </x:row>
    <x:row r="14" ht="24" hidden="0" customHeight="1">
      <x:c r="A14" s="31" t="str">
        <x:v>BOLT-013</x:v>
      </x:c>
      <x:c r="B14" s="32" t="str">
        <x:v>P-008</x:v>
      </x:c>
      <x:c r="C14" s="32" t="str">
        <x:v>Ejecutar pruebas unitarias backend</x:v>
      </x:c>
      <x:c r="D14" s="32" t="str">
        <x:v>Tester / Desarrollador</x:v>
      </x:c>
      <x:c r="E14" s="32" t="str">
        <x:v>QA automatizada</x:v>
      </x:c>
      <x:c r="F14" s="32" t="str">
        <x:v>Validación de cálculo, transacciones, validaciones de entrada y servicios Laravel.</x:v>
      </x:c>
      <x:c r="G14" s="33" t="str">
        <x:v>PHPUnit / Laravel Testing</x:v>
      </x:c>
    </x:row>
    <x:row r="15" ht="24" hidden="0" customHeight="1">
      <x:c r="A15" s="31" t="str">
        <x:v>BOLT-014</x:v>
      </x:c>
      <x:c r="B15" s="32" t="str">
        <x:v>P-008</x:v>
      </x:c>
      <x:c r="C15" s="32" t="str">
        <x:v>Ejecutar pruebas E2E de flujo crítico</x:v>
      </x:c>
      <x:c r="D15" s="32" t="str">
        <x:v>Tester QA</x:v>
      </x:c>
      <x:c r="E15" s="32" t="str">
        <x:v>QA automatizada</x:v>
      </x:c>
      <x:c r="F15" s="32" t="str">
        <x:v>Flujo Login → Buscar usuario → Cobrar → PDF → Logout en navegadores reales.</x:v>
      </x:c>
      <x:c r="G15" s="33" t="str">
        <x:v>Cypress</x:v>
      </x:c>
    </x:row>
    <x:row r="16" ht="24" hidden="0" customHeight="1">
      <x:c r="A16" s="31" t="str">
        <x:v>BOLT-015</x:v>
      </x:c>
      <x:c r="B16" s="32" t="str">
        <x:v>P-008</x:v>
      </x:c>
      <x:c r="C16" s="32" t="str">
        <x:v>Ejecutar pruebas de API REST</x:v>
      </x:c>
      <x:c r="D16" s="32" t="str">
        <x:v>Tester QA</x:v>
      </x:c>
      <x:c r="E16" s="32" t="str">
        <x:v>QA integración</x:v>
      </x:c>
      <x:c r="F16" s="32" t="str">
        <x:v>Validación de endpoints, respuestas JSON, HTTP 401 y HTTP 422.</x:v>
      </x:c>
      <x:c r="G16" s="33" t="str">
        <x:v>Postman / Newman</x:v>
      </x:c>
    </x:row>
    <x:row r="17" ht="24" hidden="0" customHeight="1">
      <x:c r="A17" s="31" t="str">
        <x:v>BOLT-016</x:v>
      </x:c>
      <x:c r="B17" s="32" t="str">
        <x:v>P-008</x:v>
      </x:c>
      <x:c r="C17" s="32" t="str">
        <x:v>Ejecutar pruebas de carga y rendimiento</x:v>
      </x:c>
      <x:c r="D17" s="32" t="str">
        <x:v>Tester QA</x:v>
      </x:c>
      <x:c r="E17" s="32" t="str">
        <x:v>QA rendimiento</x:v>
      </x:c>
      <x:c r="F17" s="32" t="str">
        <x:v>Medición de tiempos de respuesta y tasa de error con 10 usuarios concurrentes.</x:v>
      </x:c>
      <x:c r="G17" s="33" t="str">
        <x:v>k6</x:v>
      </x:c>
    </x:row>
    <x:row r="18" ht="24" hidden="0" customHeight="1">
      <x:c r="A18" s="31" t="str">
        <x:v>BOLT-017</x:v>
      </x:c>
      <x:c r="B18" s="32" t="str">
        <x:v>P-009</x:v>
      </x:c>
      <x:c r="C18" s="32" t="str">
        <x:v>Configurar entorno Docker Compose</x:v>
      </x:c>
      <x:c r="D18" s="32" t="str">
        <x:v>Equipo técnico</x:v>
      </x:c>
      <x:c r="E18" s="32" t="str">
        <x:v>DevOps</x:v>
      </x:c>
      <x:c r="F18" s="32" t="str">
        <x:v>Orquestación de app Laravel, Nginx, MariaDB y worker queue.</x:v>
      </x:c>
      <x:c r="G18" s="33" t="str">
        <x:v>Docker / Nginx / MariaDB</x:v>
      </x:c>
    </x:row>
    <x:row r="19" ht="24" hidden="0" customHeight="1">
      <x:c r="A19" s="34" t="str">
        <x:v>BOLT-018</x:v>
      </x:c>
      <x:c r="B19" s="35" t="str">
        <x:v>P-003</x:v>
      </x:c>
      <x:c r="C19" s="35" t="str">
        <x:v>Gestionar padrón de usuarios</x:v>
      </x:c>
      <x:c r="D19" s="35" t="str">
        <x:v>Administrador JASS</x:v>
      </x:c>
      <x:c r="E19" s="35" t="str">
        <x:v>CRUD administrativo</x:v>
      </x:c>
      <x:c r="F19" s="35" t="str">
        <x:v>Crear, consultar, actualizar y eliminar usuarios del padrón del servicio de agua potable.</x:v>
      </x:c>
      <x:c r="G19" s="36" t="str">
        <x:v>RF-02 / CU-02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6a9f7cdb03c48a8"/>
  </x:tableParts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6" hidden="0" customWidth="1"/>
    <x:col min="2" max="2" width="16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26" width="8.710000038146973" customWidth="1"/>
  </x:cols>
  <x:sheetData>
    <x:row r="1" ht="24" hidden="0" customHeight="1">
      <x:c r="A1" s="19" t="str">
        <x:v>ID_NODO</x:v>
      </x:c>
      <x:c r="B1" s="20" t="str">
        <x:v>ID_PROCESO</x:v>
      </x:c>
      <x:c r="C1" s="20" t="str">
        <x:v>TIPO_NODO(EVENTO/GATEWAY/ACTIVIDAD)</x:v>
      </x:c>
      <x:c r="D1" s="20" t="str">
        <x:v>NOMBRE</x:v>
      </x:c>
      <x:c r="E1" s="20" t="str">
        <x:v>NODO_ORIGEN</x:v>
      </x:c>
      <x:c r="F1" s="20" t="str">
        <x:v>NODO_DESTINO</x:v>
      </x:c>
      <x:c r="G1" s="21" t="str">
        <x:v>CONDICION</x:v>
      </x:c>
    </x:row>
    <x:row r="2" ht="24" hidden="0" customHeight="1">
      <x:c r="A2" s="31" t="str">
        <x:v>N-001</x:v>
      </x:c>
      <x:c r="B2" s="32" t="str">
        <x:v>P-002</x:v>
      </x:c>
      <x:c r="C2" s="32" t="str">
        <x:v>EVENTO</x:v>
      </x:c>
      <x:c r="D2" s="32" t="str">
        <x:v>Inicio del proceso de cobro mensual</x:v>
      </x:c>
      <x:c r="E2" s="32" t="str"/>
      <x:c r="F2" s="32" t="str">
        <x:v>N-002</x:v>
      </x:c>
      <x:c r="G2" s="33" t="str">
        <x:v>Inicio de jornada de cobro</x:v>
      </x:c>
    </x:row>
    <x:row r="3" ht="15" hidden="0" customHeight="1">
      <x:c r="A3" s="31" t="str">
        <x:v>N-002</x:v>
      </x:c>
      <x:c r="B3" s="32" t="str">
        <x:v>P-007</x:v>
      </x:c>
      <x:c r="C3" s="32" t="str">
        <x:v>ACTIVIDAD</x:v>
      </x:c>
      <x:c r="D3" s="32" t="str">
        <x:v>Operador inicia sesión</x:v>
      </x:c>
      <x:c r="E3" s="32" t="str">
        <x:v>N-001</x:v>
      </x:c>
      <x:c r="F3" s="32" t="str">
        <x:v>N-003</x:v>
      </x:c>
      <x:c r="G3" s="33" t="str">
        <x:v>Credenciales disponibles</x:v>
      </x:c>
    </x:row>
    <x:row r="4" ht="24" hidden="0" customHeight="1">
      <x:c r="A4" s="31" t="str">
        <x:v>N-003</x:v>
      </x:c>
      <x:c r="B4" s="32" t="str">
        <x:v>P-007</x:v>
      </x:c>
      <x:c r="C4" s="32" t="str">
        <x:v>GATEWAY</x:v>
      </x:c>
      <x:c r="D4" s="32" t="str">
        <x:v>¿Credenciales válidas?</x:v>
      </x:c>
      <x:c r="E4" s="32" t="str">
        <x:v>N-002</x:v>
      </x:c>
      <x:c r="F4" s="32" t="str">
        <x:v>N-004 / N-018</x:v>
      </x:c>
      <x:c r="G4" s="33" t="str">
        <x:v>Sí: continuar / No: mostrar error o bloqueo</x:v>
      </x:c>
    </x:row>
    <x:row r="5" ht="15" hidden="0" customHeight="1">
      <x:c r="A5" s="31" t="str">
        <x:v>N-004</x:v>
      </x:c>
      <x:c r="B5" s="32" t="str">
        <x:v>P-002</x:v>
      </x:c>
      <x:c r="C5" s="32" t="str">
        <x:v>ACTIVIDAD</x:v>
      </x:c>
      <x:c r="D5" s="32" t="str">
        <x:v>Sistema carga lista con deuda calculada</x:v>
      </x:c>
      <x:c r="E5" s="32" t="str">
        <x:v>N-003</x:v>
      </x:c>
      <x:c r="F5" s="32" t="str">
        <x:v>N-005</x:v>
      </x:c>
      <x:c r="G5" s="33" t="str">
        <x:v>Login exitoso</x:v>
      </x:c>
    </x:row>
    <x:row r="6" ht="24" hidden="0" customHeight="1">
      <x:c r="A6" s="31" t="str">
        <x:v>N-005</x:v>
      </x:c>
      <x:c r="B6" s="32" t="str">
        <x:v>P-002</x:v>
      </x:c>
      <x:c r="C6" s="32" t="str">
        <x:v>ACTIVIDAD</x:v>
      </x:c>
      <x:c r="D6" s="32" t="str">
        <x:v>Operador busca usuario por nombre o código</x:v>
      </x:c>
      <x:c r="E6" s="32" t="str">
        <x:v>N-004</x:v>
      </x:c>
      <x:c r="F6" s="32" t="str">
        <x:v>N-006</x:v>
      </x:c>
      <x:c r="G6" s="33" t="str">
        <x:v>Usuario se presenta a pagar</x:v>
      </x:c>
    </x:row>
    <x:row r="7" ht="24" hidden="0" customHeight="1">
      <x:c r="A7" s="31" t="str">
        <x:v>N-006</x:v>
      </x:c>
      <x:c r="B7" s="32" t="str">
        <x:v>P-002</x:v>
      </x:c>
      <x:c r="C7" s="32" t="str">
        <x:v>GATEWAY</x:v>
      </x:c>
      <x:c r="D7" s="32" t="str">
        <x:v>¿Usuario encontrado?</x:v>
      </x:c>
      <x:c r="E7" s="32" t="str">
        <x:v>N-005</x:v>
      </x:c>
      <x:c r="F7" s="32" t="str">
        <x:v>N-007 / N-019</x:v>
      </x:c>
      <x:c r="G7" s="33" t="str">
        <x:v>Sí: calcular monto / No: mensaje de error</x:v>
      </x:c>
    </x:row>
    <x:row r="8" ht="24" hidden="0" customHeight="1">
      <x:c r="A8" s="31" t="str">
        <x:v>N-007</x:v>
      </x:c>
      <x:c r="B8" s="32" t="str">
        <x:v>P-002</x:v>
      </x:c>
      <x:c r="C8" s="32" t="str">
        <x:v>ACTIVIDAD</x:v>
      </x:c>
      <x:c r="D8" s="32" t="str">
        <x:v>Sistema calcula monto total</x:v>
      </x:c>
      <x:c r="E8" s="32" t="str">
        <x:v>N-006</x:v>
      </x:c>
      <x:c r="F8" s="32" t="str">
        <x:v>N-008</x:v>
      </x:c>
      <x:c r="G8" s="33" t="str">
        <x:v>Usuario con datos vigentes</x:v>
      </x:c>
    </x:row>
    <x:row r="9" ht="24" hidden="0" customHeight="1">
      <x:c r="A9" s="31" t="str">
        <x:v>N-008</x:v>
      </x:c>
      <x:c r="B9" s="32" t="str">
        <x:v>P-002</x:v>
      </x:c>
      <x:c r="C9" s="32" t="str">
        <x:v>GATEWAY</x:v>
      </x:c>
      <x:c r="D9" s="32" t="str">
        <x:v>¿Usuario realiza pago?</x:v>
      </x:c>
      <x:c r="E9" s="32" t="str">
        <x:v>N-007</x:v>
      </x:c>
      <x:c r="F9" s="32" t="str">
        <x:v>N-009 / N-012</x:v>
      </x:c>
      <x:c r="G9" s="33" t="str">
        <x:v>Sí: registrar pago / No: registrar pendiente</x:v>
      </x:c>
    </x:row>
    <x:row r="10" ht="15" hidden="0" customHeight="1">
      <x:c r="A10" s="31" t="str">
        <x:v>N-009</x:v>
      </x:c>
      <x:c r="B10" s="32" t="str">
        <x:v>P-002</x:v>
      </x:c>
      <x:c r="C10" s="32" t="str">
        <x:v>ACTIVIDAD</x:v>
      </x:c>
      <x:c r="D10" s="32" t="str">
        <x:v>Operador confirma y registra pago</x:v>
      </x:c>
      <x:c r="E10" s="32" t="str">
        <x:v>N-008</x:v>
      </x:c>
      <x:c r="F10" s="32" t="str">
        <x:v>N-010</x:v>
      </x:c>
      <x:c r="G10" s="33" t="str">
        <x:v>Pago confirmado</x:v>
      </x:c>
    </x:row>
    <x:row r="11" ht="24" hidden="0" customHeight="1">
      <x:c r="A11" s="31" t="str">
        <x:v>N-010</x:v>
      </x:c>
      <x:c r="B11" s="32" t="str">
        <x:v>P-002</x:v>
      </x:c>
      <x:c r="C11" s="32" t="str">
        <x:v>ACTIVIDAD</x:v>
      </x:c>
      <x:c r="D11" s="32" t="str">
        <x:v>Sistema genera comprobante PDF</x:v>
      </x:c>
      <x:c r="E11" s="32" t="str">
        <x:v>N-009</x:v>
      </x:c>
      <x:c r="F11" s="32" t="str">
        <x:v>N-011</x:v>
      </x:c>
      <x:c r="G11" s="33" t="str">
        <x:v>Transacción guardada correctamente</x:v>
      </x:c>
    </x:row>
    <x:row r="12" ht="24" hidden="0" customHeight="1">
      <x:c r="A12" s="31" t="str">
        <x:v>N-011</x:v>
      </x:c>
      <x:c r="B12" s="32" t="str">
        <x:v>P-002</x:v>
      </x:c>
      <x:c r="C12" s="32" t="str">
        <x:v>ACTIVIDAD</x:v>
      </x:c>
      <x:c r="D12" s="32" t="str">
        <x:v>Operador entrega comprobante al usuario</x:v>
      </x:c>
      <x:c r="E12" s="32" t="str">
        <x:v>N-010</x:v>
      </x:c>
      <x:c r="F12" s="32" t="str">
        <x:v>N-014</x:v>
      </x:c>
      <x:c r="G12" s="33" t="str">
        <x:v>PDF disponible</x:v>
      </x:c>
    </x:row>
    <x:row r="13" ht="24" hidden="0" customHeight="1">
      <x:c r="A13" s="31" t="str">
        <x:v>N-012</x:v>
      </x:c>
      <x:c r="B13" s="32" t="str">
        <x:v>P-002</x:v>
      </x:c>
      <x:c r="C13" s="32" t="str">
        <x:v>ACTIVIDAD</x:v>
      </x:c>
      <x:c r="D13" s="32" t="str">
        <x:v>Sistema registra estado PENDIENTE</x:v>
      </x:c>
      <x:c r="E13" s="32" t="str">
        <x:v>N-008</x:v>
      </x:c>
      <x:c r="F13" s="32" t="str">
        <x:v>N-014</x:v>
      </x:c>
      <x:c r="G13" s="33" t="str">
        <x:v>Usuario no paga en la jornada</x:v>
      </x:c>
    </x:row>
    <x:row r="14" ht="15" hidden="0" customHeight="1">
      <x:c r="A14" s="31" t="str">
        <x:v>N-014</x:v>
      </x:c>
      <x:c r="B14" s="32" t="str">
        <x:v>P-004</x:v>
      </x:c>
      <x:c r="C14" s="32" t="str">
        <x:v>ACTIVIDAD</x:v>
      </x:c>
      <x:c r="D14" s="32" t="str">
        <x:v>Sistema consolida reporte mensual</x:v>
      </x:c>
      <x:c r="E14" s="32" t="str">
        <x:v>N-011 / N-012</x:v>
      </x:c>
      <x:c r="F14" s="32" t="str">
        <x:v>N-015</x:v>
      </x:c>
      <x:c r="G14" s="33" t="str">
        <x:v>Cierre de periodo</x:v>
      </x:c>
    </x:row>
    <x:row r="15" ht="15" hidden="0" customHeight="1">
      <x:c r="A15" s="31" t="str">
        <x:v>N-015</x:v>
      </x:c>
      <x:c r="B15" s="32" t="str">
        <x:v>P-004</x:v>
      </x:c>
      <x:c r="C15" s="32" t="str">
        <x:v>ACTIVIDAD</x:v>
      </x:c>
      <x:c r="D15" s="32" t="str">
        <x:v>Administrador valida y aprueba reporte</x:v>
      </x:c>
      <x:c r="E15" s="32" t="str">
        <x:v>N-014</x:v>
      </x:c>
      <x:c r="F15" s="32" t="str">
        <x:v>N-016</x:v>
      </x:c>
      <x:c r="G15" s="33" t="str">
        <x:v>Reporte revisado</x:v>
      </x:c>
    </x:row>
    <x:row r="16" ht="24" hidden="0" customHeight="1">
      <x:c r="A16" s="31" t="str">
        <x:v>N-016</x:v>
      </x:c>
      <x:c r="B16" s="32" t="str">
        <x:v>P-004</x:v>
      </x:c>
      <x:c r="C16" s="32" t="str">
        <x:v>EVENTO</x:v>
      </x:c>
      <x:c r="D16" s="32" t="str">
        <x:v>Fin del proceso TO-BE</x:v>
      </x:c>
      <x:c r="E16" s="32" t="str">
        <x:v>N-015</x:v>
      </x:c>
      <x:c r="F16" s="32" t="str"/>
      <x:c r="G16" s="33" t="str">
        <x:v>Reporte exportado y listo para rendición</x:v>
      </x:c>
    </x:row>
    <x:row r="17" ht="24" hidden="0" customHeight="1">
      <x:c r="A17" s="31" t="str">
        <x:v>N-018</x:v>
      </x:c>
      <x:c r="B17" s="32" t="str">
        <x:v>P-007</x:v>
      </x:c>
      <x:c r="C17" s="32" t="str">
        <x:v>EVENTO</x:v>
      </x:c>
      <x:c r="D17" s="32" t="str">
        <x:v>Acceso rechazado</x:v>
      </x:c>
      <x:c r="E17" s="32" t="str">
        <x:v>N-003</x:v>
      </x:c>
      <x:c r="F17" s="32" t="str"/>
      <x:c r="G17" s="33" t="str">
        <x:v>Credenciales inválidas o bloqueo por 3 intentos</x:v>
      </x:c>
    </x:row>
    <x:row r="18" ht="24" hidden="0" customHeight="1">
      <x:c r="A18" s="34" t="str">
        <x:v>N-019</x:v>
      </x:c>
      <x:c r="B18" s="35" t="str">
        <x:v>P-002</x:v>
      </x:c>
      <x:c r="C18" s="35" t="str">
        <x:v>EVENTO</x:v>
      </x:c>
      <x:c r="D18" s="35" t="str">
        <x:v>Usuario no encontrado</x:v>
      </x:c>
      <x:c r="E18" s="35" t="str">
        <x:v>N-006</x:v>
      </x:c>
      <x:c r="F18" s="35" t="str"/>
      <x:c r="G18" s="36" t="str">
        <x:v>Código o nombre sin coincidencia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ec9dc94f1d5145c3"/>
  </x:tableParts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6" hidden="0" customWidth="1"/>
    <x:col min="2" max="2" width="1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26" width="8.710000038146973" customWidth="1"/>
  </x:cols>
  <x:sheetData>
    <x:row r="1" ht="15" hidden="0" customHeight="1">
      <x:c r="A1" s="19" t="str">
        <x:v>ID_REQUERIMIENTO</x:v>
      </x:c>
      <x:c r="B1" s="20" t="str">
        <x:v>TIPO(RF/RNF)</x:v>
      </x:c>
      <x:c r="C1" s="20" t="str">
        <x:v>DESCRIPCION</x:v>
      </x:c>
      <x:c r="D1" s="20" t="str">
        <x:v>PRIORIDAD</x:v>
      </x:c>
      <x:c r="E1" s="20" t="str">
        <x:v>PMV</x:v>
      </x:c>
      <x:c r="F1" s="20" t="str">
        <x:v>ESTADO</x:v>
      </x:c>
      <x:c r="G1" s="21" t="str">
        <x:v>ID_BOLT_RELACIONADO</x:v>
      </x:c>
    </x:row>
    <x:row r="2" ht="36" hidden="0" customHeight="1">
      <x:c r="A2" s="31" t="str">
        <x:v>RF-01</x:v>
      </x:c>
      <x:c r="B2" s="32" t="str">
        <x:v>RF</x:v>
      </x:c>
      <x:c r="C2" s="32" t="str">
        <x:v>Autenticación y control de acceso con roles diferenciados de administrador y operador, bloqueo tras tres intentos fallidos y cierre por inactividad.</x:v>
      </x:c>
      <x:c r="D2" s="32" t="str">
        <x:v>Alta</x:v>
      </x:c>
      <x:c r="E2" s="32" t="str">
        <x:v>PMV-01</x:v>
      </x:c>
      <x:c r="F2" s="32" t="str">
        <x:v>Definido</x:v>
      </x:c>
      <x:c r="G2" s="33" t="str">
        <x:v>BOLT-001</x:v>
      </x:c>
    </x:row>
    <x:row r="3" ht="24" hidden="0" customHeight="1">
      <x:c r="A3" s="31" t="str">
        <x:v>RF-02</x:v>
      </x:c>
      <x:c r="B3" s="32" t="str">
        <x:v>RF</x:v>
      </x:c>
      <x:c r="C3" s="32" t="str">
        <x:v>Carga automática de lista de usuarios con deuda calculada, filtrable por estado y barrio.</x:v>
      </x:c>
      <x:c r="D3" s="32" t="str">
        <x:v>Alta</x:v>
      </x:c>
      <x:c r="E3" s="32" t="str">
        <x:v>PMV-02</x:v>
      </x:c>
      <x:c r="F3" s="32" t="str">
        <x:v>Definido</x:v>
      </x:c>
      <x:c r="G3" s="33" t="str">
        <x:v>BOLT-002 / BOLT-018</x:v>
      </x:c>
    </x:row>
    <x:row r="4" ht="24" hidden="0" customHeight="1">
      <x:c r="A4" s="31" t="str">
        <x:v>RF-03</x:v>
      </x:c>
      <x:c r="B4" s="32" t="str">
        <x:v>RF</x:v>
      </x:c>
      <x:c r="C4" s="32" t="str">
        <x:v>Búsqueda digital de usuario por nombre o código y visualización de perfil completo e historial de pagos.</x:v>
      </x:c>
      <x:c r="D4" s="32" t="str">
        <x:v>Alta</x:v>
      </x:c>
      <x:c r="E4" s="32" t="str">
        <x:v>PMV-02</x:v>
      </x:c>
      <x:c r="F4" s="32" t="str">
        <x:v>Definido</x:v>
      </x:c>
      <x:c r="G4" s="33" t="str">
        <x:v>BOLT-003</x:v>
      </x:c>
    </x:row>
    <x:row r="5" ht="36" hidden="0" customHeight="1">
      <x:c r="A5" s="31" t="str">
        <x:v>RF-04</x:v>
      </x:c>
      <x:c r="B5" s="32" t="str">
        <x:v>RF</x:v>
      </x:c>
      <x:c r="C5" s="32" t="str">
        <x:v>Cálculo automático del monto a cobrar: cuota mensual S/4.00 por meses pendientes, deudas acumuladas y multas activas.</x:v>
      </x:c>
      <x:c r="D5" s="32" t="str">
        <x:v>Alta</x:v>
      </x:c>
      <x:c r="E5" s="32" t="str">
        <x:v>PMV-03</x:v>
      </x:c>
      <x:c r="F5" s="32" t="str">
        <x:v>Definido</x:v>
      </x:c>
      <x:c r="G5" s="33" t="str">
        <x:v>BOLT-004</x:v>
      </x:c>
    </x:row>
    <x:row r="6" ht="36" hidden="0" customHeight="1">
      <x:c r="A6" s="31" t="str">
        <x:v>RF-05</x:v>
      </x:c>
      <x:c r="B6" s="32" t="str">
        <x:v>RF</x:v>
      </x:c>
      <x:c r="C6" s="32" t="str">
        <x:v>Registro digital del pago en MariaDB en tiempo real, con número de serie único, actualización de estado e ingreso contable.</x:v>
      </x:c>
      <x:c r="D6" s="32" t="str">
        <x:v>Alta</x:v>
      </x:c>
      <x:c r="E6" s="32" t="str">
        <x:v>PMV-03</x:v>
      </x:c>
      <x:c r="F6" s="32" t="str">
        <x:v>Definido</x:v>
      </x:c>
      <x:c r="G6" s="33" t="str">
        <x:v>BOLT-005</x:v>
      </x:c>
    </x:row>
    <x:row r="7" ht="36" hidden="0" customHeight="1">
      <x:c r="A7" s="31" t="str">
        <x:v>RF-06</x:v>
      </x:c>
      <x:c r="B7" s="32" t="str">
        <x:v>RF</x:v>
      </x:c>
      <x:c r="C7" s="32" t="str">
        <x:v>Registro automático de pendientes cuando no existe cobro confirmado, incrementando deuda para el ciclo siguiente.</x:v>
      </x:c>
      <x:c r="D7" s="32" t="str">
        <x:v>Alta</x:v>
      </x:c>
      <x:c r="E7" s="32" t="str">
        <x:v>PMV-03</x:v>
      </x:c>
      <x:c r="F7" s="32" t="str">
        <x:v>Definido</x:v>
      </x:c>
      <x:c r="G7" s="33" t="str">
        <x:v>BOLT-006</x:v>
      </x:c>
    </x:row>
    <x:row r="8" ht="24" hidden="0" customHeight="1">
      <x:c r="A8" s="31" t="str">
        <x:v>RF-07</x:v>
      </x:c>
      <x:c r="B8" s="32" t="str">
        <x:v>RF</x:v>
      </x:c>
      <x:c r="C8" s="32" t="str">
        <x:v>Generación de comprobante PDF con serie única, encabezado J.A.S.S. QUILCATA, desglose y código QR.</x:v>
      </x:c>
      <x:c r="D8" s="32" t="str">
        <x:v>Alta</x:v>
      </x:c>
      <x:c r="E8" s="32" t="str">
        <x:v>PMV-04</x:v>
      </x:c>
      <x:c r="F8" s="32" t="str">
        <x:v>Definido</x:v>
      </x:c>
      <x:c r="G8" s="33" t="str">
        <x:v>BOLT-007</x:v>
      </x:c>
    </x:row>
    <x:row r="9" ht="24" hidden="0" customHeight="1">
      <x:c r="A9" s="31" t="str">
        <x:v>RF-08</x:v>
      </x:c>
      <x:c r="B9" s="32" t="str">
        <x:v>RF</x:v>
      </x:c>
      <x:c r="C9" s="32" t="str">
        <x:v>Entrega del comprobante al usuario en modalidad impresa o digital, dejando registro en historial.</x:v>
      </x:c>
      <x:c r="D9" s="32" t="str">
        <x:v>Alta</x:v>
      </x:c>
      <x:c r="E9" s="32" t="str">
        <x:v>PMV-04</x:v>
      </x:c>
      <x:c r="F9" s="32" t="str">
        <x:v>Definido</x:v>
      </x:c>
      <x:c r="G9" s="33" t="str">
        <x:v>BOLT-008</x:v>
      </x:c>
    </x:row>
    <x:row r="10" ht="36" hidden="0" customHeight="1">
      <x:c r="A10" s="31" t="str">
        <x:v>RF-09</x:v>
      </x:c>
      <x:c r="B10" s="32" t="str">
        <x:v>RF</x:v>
      </x:c>
      <x:c r="C10" s="32" t="str">
        <x:v>Generación automática del reporte mensual con ingresos, egresos, deudas pendientes, balance y comparativa.</x:v>
      </x:c>
      <x:c r="D10" s="32" t="str">
        <x:v>Alta</x:v>
      </x:c>
      <x:c r="E10" s="32" t="str">
        <x:v>PMV-05</x:v>
      </x:c>
      <x:c r="F10" s="32" t="str">
        <x:v>Definido</x:v>
      </x:c>
      <x:c r="G10" s="33" t="str">
        <x:v>BOLT-009</x:v>
      </x:c>
    </x:row>
    <x:row r="11" ht="24" hidden="0" customHeight="1">
      <x:c r="A11" s="31" t="str">
        <x:v>RF-10</x:v>
      </x:c>
      <x:c r="B11" s="32" t="str">
        <x:v>RF</x:v>
      </x:c>
      <x:c r="C11" s="32" t="str">
        <x:v>Validación, aprobación y exportación del reporte mensual oficial para rendición de cuentas.</x:v>
      </x:c>
      <x:c r="D11" s="32" t="str">
        <x:v>Alta</x:v>
      </x:c>
      <x:c r="E11" s="32" t="str">
        <x:v>PMV-05</x:v>
      </x:c>
      <x:c r="F11" s="32" t="str">
        <x:v>Definido</x:v>
      </x:c>
      <x:c r="G11" s="33" t="str">
        <x:v>BOLT-010</x:v>
      </x:c>
    </x:row>
    <x:row r="12" ht="24" hidden="0" customHeight="1">
      <x:c r="A12" s="31" t="str">
        <x:v>RF-11</x:v>
      </x:c>
      <x:c r="B12" s="32" t="str">
        <x:v>RF</x:v>
      </x:c>
      <x:c r="C12" s="32" t="str">
        <x:v>Gestión CRUD de multas y tarifas del servicio por parte del administrador JASS.</x:v>
      </x:c>
      <x:c r="D12" s="32" t="str">
        <x:v>Media</x:v>
      </x:c>
      <x:c r="E12" s="32" t="str">
        <x:v>PMV-06</x:v>
      </x:c>
      <x:c r="F12" s="32" t="str">
        <x:v>Definido</x:v>
      </x:c>
      <x:c r="G12" s="33" t="str">
        <x:v>BOLT-011</x:v>
      </x:c>
    </x:row>
    <x:row r="13" ht="24" hidden="0" customHeight="1">
      <x:c r="A13" s="31" t="str">
        <x:v>RF-12</x:v>
      </x:c>
      <x:c r="B13" s="32" t="str">
        <x:v>RF</x:v>
      </x:c>
      <x:c r="C13" s="32" t="str">
        <x:v>Gestión y registro categorizado de egresos operativos para el balance mensual.</x:v>
      </x:c>
      <x:c r="D13" s="32" t="str">
        <x:v>Media</x:v>
      </x:c>
      <x:c r="E13" s="32" t="str">
        <x:v>PMV-06</x:v>
      </x:c>
      <x:c r="F13" s="32" t="str">
        <x:v>Definido</x:v>
      </x:c>
      <x:c r="G13" s="33" t="str">
        <x:v>BOLT-012</x:v>
      </x:c>
    </x:row>
    <x:row r="14" ht="24" hidden="0" customHeight="1">
      <x:c r="A14" s="31" t="str">
        <x:v>RNF-01</x:v>
      </x:c>
      <x:c r="B14" s="32" t="str">
        <x:v>RNF</x:v>
      </x:c>
      <x:c r="C14" s="32" t="str">
        <x:v>Tiempo de respuesta del cálculo de monto menor o igual a 2 segundos en el 95% de solicitudes.</x:v>
      </x:c>
      <x:c r="D14" s="32" t="str">
        <x:v>Alta</x:v>
      </x:c>
      <x:c r="E14" s="32" t="str">
        <x:v>PMV-07</x:v>
      </x:c>
      <x:c r="F14" s="32" t="str">
        <x:v>Definido</x:v>
      </x:c>
      <x:c r="G14" s="33" t="str">
        <x:v>BOLT-004 / BOLT-016</x:v>
      </x:c>
    </x:row>
    <x:row r="15" ht="24" hidden="0" customHeight="1">
      <x:c r="A15" s="31" t="str">
        <x:v>RNF-02</x:v>
      </x:c>
      <x:c r="B15" s="32" t="str">
        <x:v>RNF</x:v>
      </x:c>
      <x:c r="C15" s="32" t="str">
        <x:v>Carga inicial de lista de usuarios menor o igual a 3 segundos para un padrón de 500 usuarios.</x:v>
      </x:c>
      <x:c r="D15" s="32" t="str">
        <x:v>Alta</x:v>
      </x:c>
      <x:c r="E15" s="32" t="str">
        <x:v>PMV-07</x:v>
      </x:c>
      <x:c r="F15" s="32" t="str">
        <x:v>Definido</x:v>
      </x:c>
      <x:c r="G15" s="33" t="str">
        <x:v>BOLT-002 / BOLT-016</x:v>
      </x:c>
    </x:row>
    <x:row r="16" ht="24" hidden="0" customHeight="1">
      <x:c r="A16" s="31" t="str">
        <x:v>RNF-03</x:v>
      </x:c>
      <x:c r="B16" s="32" t="str">
        <x:v>RNF</x:v>
      </x:c>
      <x:c r="C16" s="32" t="str">
        <x:v>Control de acceso por roles; accesos sin token válido retornan HTTP 401 o 403.</x:v>
      </x:c>
      <x:c r="D16" s="32" t="str">
        <x:v>Alta</x:v>
      </x:c>
      <x:c r="E16" s="32" t="str">
        <x:v>PMV-01</x:v>
      </x:c>
      <x:c r="F16" s="32" t="str">
        <x:v>Definido</x:v>
      </x:c>
      <x:c r="G16" s="33" t="str">
        <x:v>BOLT-001 / BOLT-015</x:v>
      </x:c>
    </x:row>
    <x:row r="17" ht="24" hidden="0" customHeight="1">
      <x:c r="A17" s="31" t="str">
        <x:v>RNF-04</x:v>
      </x:c>
      <x:c r="B17" s="32" t="str">
        <x:v>RNF</x:v>
      </x:c>
      <x:c r="C17" s="32" t="str">
        <x:v>Protección de datos en tránsito y contraseñas mediante HTTPS y bcrypt.</x:v>
      </x:c>
      <x:c r="D17" s="32" t="str">
        <x:v>Alta</x:v>
      </x:c>
      <x:c r="E17" s="32" t="str">
        <x:v>PMV-01</x:v>
      </x:c>
      <x:c r="F17" s="32" t="str">
        <x:v>Definido</x:v>
      </x:c>
      <x:c r="G17" s="33" t="str">
        <x:v>BOLT-001</x:v>
      </x:c>
    </x:row>
    <x:row r="18" ht="24" hidden="0" customHeight="1">
      <x:c r="A18" s="31" t="str">
        <x:v>RNF-05</x:v>
      </x:c>
      <x:c r="B18" s="32" t="str">
        <x:v>RNF</x:v>
      </x:c>
      <x:c r="C18" s="32" t="str">
        <x:v>Interfaz responsive y compatible con Chrome, Firefox y Edge.</x:v>
      </x:c>
      <x:c r="D18" s="32" t="str">
        <x:v>Alta</x:v>
      </x:c>
      <x:c r="E18" s="32" t="str">
        <x:v>PMV-08</x:v>
      </x:c>
      <x:c r="F18" s="32" t="str">
        <x:v>Definido</x:v>
      </x:c>
      <x:c r="G18" s="33" t="str">
        <x:v>BOLT-014</x:v>
      </x:c>
    </x:row>
    <x:row r="19" ht="24" hidden="0" customHeight="1">
      <x:c r="A19" s="31" t="str">
        <x:v>RNF-06</x:v>
      </x:c>
      <x:c r="B19" s="32" t="str">
        <x:v>RNF</x:v>
      </x:c>
      <x:c r="C19" s="32" t="str">
        <x:v>Flujo de cobro ejecutable en menos de 5 minutos tras capacitación breve.</x:v>
      </x:c>
      <x:c r="D19" s="32" t="str">
        <x:v>Alta</x:v>
      </x:c>
      <x:c r="E19" s="32" t="str">
        <x:v>PMV-03</x:v>
      </x:c>
      <x:c r="F19" s="32" t="str">
        <x:v>Definido</x:v>
      </x:c>
      <x:c r="G19" s="33" t="str">
        <x:v>BOLT-003 / BOLT-005</x:v>
      </x:c>
    </x:row>
    <x:row r="20" ht="24" hidden="0" customHeight="1">
      <x:c r="A20" s="31" t="str">
        <x:v>RNF-07</x:v>
      </x:c>
      <x:c r="B20" s="32" t="str">
        <x:v>RNF</x:v>
      </x:c>
      <x:c r="C20" s="32" t="str">
        <x:v>Disponibilidad durante jornadas de cobro con uptime mensual objetivo de 99%.</x:v>
      </x:c>
      <x:c r="D20" s="32" t="str">
        <x:v>Alta</x:v>
      </x:c>
      <x:c r="E20" s="32" t="str">
        <x:v>PMV-09</x:v>
      </x:c>
      <x:c r="F20" s="32" t="str">
        <x:v>Definido</x:v>
      </x:c>
      <x:c r="G20" s="33" t="str">
        <x:v>BOLT-017</x:v>
      </x:c>
    </x:row>
    <x:row r="21" ht="24" hidden="0" customHeight="1">
      <x:c r="A21" s="31" t="str">
        <x:v>RNF-08</x:v>
      </x:c>
      <x:c r="B21" s="32" t="str">
        <x:v>RNF</x:v>
      </x:c>
      <x:c r="C21" s="32" t="str">
        <x:v>Integridad transaccional sin registros parciales tras fallos y rollback verificado.</x:v>
      </x:c>
      <x:c r="D21" s="32" t="str">
        <x:v>Alta</x:v>
      </x:c>
      <x:c r="E21" s="32" t="str">
        <x:v>PMV-03</x:v>
      </x:c>
      <x:c r="F21" s="32" t="str">
        <x:v>Definido</x:v>
      </x:c>
      <x:c r="G21" s="33" t="str">
        <x:v>BOLT-005 / BOLT-013</x:v>
      </x:c>
    </x:row>
    <x:row r="22" ht="24" hidden="0" customHeight="1">
      <x:c r="A22" s="31" t="str">
        <x:v>RNF-09</x:v>
      </x:c>
      <x:c r="B22" s="32" t="str">
        <x:v>RNF</x:v>
      </x:c>
      <x:c r="C22" s="32" t="str">
        <x:v>Cobertura de pruebas automatizadas con Laravel Testing igual o mayor a 80%.</x:v>
      </x:c>
      <x:c r="D22" s="32" t="str">
        <x:v>Alta</x:v>
      </x:c>
      <x:c r="E22" s="32" t="str">
        <x:v>PMV-07</x:v>
      </x:c>
      <x:c r="F22" s="32" t="str">
        <x:v>Definido</x:v>
      </x:c>
      <x:c r="G22" s="33" t="str">
        <x:v>BOLT-013</x:v>
      </x:c>
    </x:row>
    <x:row r="23" ht="24" hidden="0" customHeight="1">
      <x:c r="A23" s="31" t="str">
        <x:v>RNF-10</x:v>
      </x:c>
      <x:c r="B23" s="32" t="str">
        <x:v>RNF</x:v>
      </x:c>
      <x:c r="C23" s="32" t="str">
        <x:v>Precisión decimal en cálculos monetarios usando BCMath sin error de redondeo.</x:v>
      </x:c>
      <x:c r="D23" s="32" t="str">
        <x:v>Alta</x:v>
      </x:c>
      <x:c r="E23" s="32" t="str">
        <x:v>PMV-03</x:v>
      </x:c>
      <x:c r="F23" s="32" t="str">
        <x:v>Definido</x:v>
      </x:c>
      <x:c r="G23" s="33" t="str">
        <x:v>BOLT-004 / BOLT-013</x:v>
      </x:c>
    </x:row>
    <x:row r="24" ht="24" hidden="0" customHeight="1">
      <x:c r="A24" s="31" t="str">
        <x:v>RNF-11</x:v>
      </x:c>
      <x:c r="B24" s="32" t="str">
        <x:v>RNF</x:v>
      </x:c>
      <x:c r="C24" s="32" t="str">
        <x:v>Soporte de 10 usuarios concurrentes con tasa de error menor a 1%.</x:v>
      </x:c>
      <x:c r="D24" s="32" t="str">
        <x:v>Media</x:v>
      </x:c>
      <x:c r="E24" s="32" t="str">
        <x:v>PMV-07</x:v>
      </x:c>
      <x:c r="F24" s="32" t="str">
        <x:v>Definido</x:v>
      </x:c>
      <x:c r="G24" s="33" t="str">
        <x:v>BOLT-016</x:v>
      </x:c>
    </x:row>
    <x:row r="25" ht="24" hidden="0" customHeight="1">
      <x:c r="A25" s="34" t="str">
        <x:v>RNF-12</x:v>
      </x:c>
      <x:c r="B25" s="35" t="str">
        <x:v>RNF</x:v>
      </x:c>
      <x:c r="C25" s="35" t="str">
        <x:v>Respaldo y recuperación de la base de datos con restauración menor o igual a 60 minutos.</x:v>
      </x:c>
      <x:c r="D25" s="35" t="str">
        <x:v>Alta</x:v>
      </x:c>
      <x:c r="E25" s="35" t="str">
        <x:v>PMV-09</x:v>
      </x:c>
      <x:c r="F25" s="35" t="str">
        <x:v>Definido</x:v>
      </x:c>
      <x:c r="G25" s="36" t="str">
        <x:v>BOLT-017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F2:F25">
      <x:formula1>"Definido,Diseñado,En desarrollo,Planificado,Pendiente,Activo,Completado,Rechazado,En revisión"</x:formula1>
    </x:dataValidation>
    <x:dataValidation type="list" sqref="D2:D25">
      <x:formula1>"Alta,Media,Baja,Crítica"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2876ccc3b14fd1"/>
  </x:tableParts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38" hidden="0" customWidth="1"/>
    <x:col min="17" max="26" width="8.710000038146973" customWidth="1"/>
  </x:cols>
  <x:sheetData>
    <x:row r="1" ht="24" hidden="0" customHeight="1">
      <x:c r="A1" s="19" t="str">
        <x:v>ID_REGISTRO</x:v>
      </x:c>
      <x:c r="B1" s="20" t="str">
        <x:v>ID_BOLT</x:v>
      </x:c>
      <x:c r="C1" s="20" t="str">
        <x:v>BOLT_PADRE</x:v>
      </x:c>
      <x:c r="D1" s="20" t="str">
        <x:v>VERSION</x:v>
      </x:c>
      <x:c r="E1" s="20" t="str">
        <x:v>TIPO_CAMBIO</x:v>
      </x:c>
      <x:c r="F1" s="20" t="str">
        <x:v>ESTADO_BOLT</x:v>
      </x:c>
      <x:c r="G1" s="20" t="str">
        <x:v>ESTADO_INTEGRACION</x:v>
      </x:c>
      <x:c r="H1" s="20" t="str">
        <x:v>FECHA</x:v>
      </x:c>
      <x:c r="I1" s="20" t="str">
        <x:v>RESPONSABLE</x:v>
      </x:c>
      <x:c r="J1" s="20" t="str">
        <x:v>AGENTE_RESPONSABLE</x:v>
      </x:c>
      <x:c r="K1" s="20" t="str">
        <x:v>COMMIT</x:v>
      </x:c>
      <x:c r="L1" s="20" t="str">
        <x:v>PULL_REQUEST</x:v>
      </x:c>
      <x:c r="M1" s="20" t="str">
        <x:v>FUENTE</x:v>
      </x:c>
      <x:c r="N1" s="20" t="str">
        <x:v>CONFIANZA</x:v>
      </x:c>
      <x:c r="O1" s="20" t="str">
        <x:v>REQUIERE_REVISION_HUMANA</x:v>
      </x:c>
      <x:c r="P1" s="21" t="str">
        <x:v>OBSERVACIONES</x:v>
      </x:c>
    </x:row>
    <x:row r="2" ht="24" hidden="0" customHeight="1">
      <x:c r="A2" s="31" t="str">
        <x:v>CV-001</x:v>
      </x:c>
      <x:c r="B2" s="32" t="str">
        <x:v>BOLT-001</x:v>
      </x:c>
      <x:c r="C2" s="32" t="str"/>
      <x:c r="D2" s="32" t="str">
        <x:v>1.0</x:v>
      </x:c>
      <x:c r="E2" s="32" t="str">
        <x:v>Definición funcional</x:v>
      </x:c>
      <x:c r="F2" s="32" t="str">
        <x:v>Diseñado</x:v>
      </x:c>
      <x:c r="G2" s="32" t="str">
        <x:v>Pendiente de integración</x:v>
      </x:c>
      <x:c r="H2" s="32" t="str">
        <x:v>03/04/2026</x:v>
      </x:c>
      <x:c r="I2" s="32" t="str">
        <x:v>Equipo de desarrollo</x:v>
      </x:c>
      <x:c r="J2" s="32" t="str">
        <x:v>Humano</x:v>
      </x:c>
      <x:c r="K2" s="32" t="str">
        <x:v>No especificado</x:v>
      </x:c>
      <x:c r="L2" s="32" t="str">
        <x:v>No especificado</x:v>
      </x:c>
      <x:c r="M2" s="32" t="str">
        <x:v>https://github.com/PK-251/JASS-Ayacucho.git</x:v>
      </x:c>
      <x:c r="N2" s="32" t="str">
        <x:v>Alta</x:v>
      </x:c>
      <x:c r="O2" s="32" t="str">
        <x:v>Sí</x:v>
      </x:c>
      <x:c r="P2" s="33" t="str">
        <x:v>Implementar rama feature/auth y revisar permisos por rol.</x:v>
      </x:c>
    </x:row>
    <x:row r="3" ht="24" hidden="0" customHeight="1">
      <x:c r="A3" s="31" t="str">
        <x:v>CV-002</x:v>
      </x:c>
      <x:c r="B3" s="32" t="str">
        <x:v>BOLT-005</x:v>
      </x:c>
      <x:c r="C3" s="32" t="str">
        <x:v>BOLT-003 / BOLT-004</x:v>
      </x:c>
      <x:c r="D3" s="32" t="str">
        <x:v>1.0</x:v>
      </x:c>
      <x:c r="E3" s="32" t="str">
        <x:v>Definición funcional</x:v>
      </x:c>
      <x:c r="F3" s="32" t="str">
        <x:v>Diseñado</x:v>
      </x:c>
      <x:c r="G3" s="32" t="str">
        <x:v>Pendiente de integración</x:v>
      </x:c>
      <x:c r="H3" s="32" t="str">
        <x:v>03/04/2026</x:v>
      </x:c>
      <x:c r="I3" s="32" t="str">
        <x:v>Equipo de desarrollo</x:v>
      </x:c>
      <x:c r="J3" s="32" t="str">
        <x:v>Humano</x:v>
      </x:c>
      <x:c r="K3" s="32" t="str">
        <x:v>No especificado</x:v>
      </x:c>
      <x:c r="L3" s="32" t="str">
        <x:v>No especificado</x:v>
      </x:c>
      <x:c r="M3" s="32" t="str">
        <x:v>https://github.com/PK-251/JASS-Ayacucho.git</x:v>
      </x:c>
      <x:c r="N3" s="32" t="str">
        <x:v>Alta</x:v>
      </x:c>
      <x:c r="O3" s="32" t="str">
        <x:v>Sí</x:v>
      </x:c>
      <x:c r="P3" s="33" t="str">
        <x:v>Registro de pagos debe operar como transacción atómica en MariaDB.</x:v>
      </x:c>
    </x:row>
    <x:row r="4" ht="24" hidden="0" customHeight="1">
      <x:c r="A4" s="31" t="str">
        <x:v>CV-003</x:v>
      </x:c>
      <x:c r="B4" s="32" t="str">
        <x:v>BOLT-007</x:v>
      </x:c>
      <x:c r="C4" s="32" t="str">
        <x:v>BOLT-005</x:v>
      </x:c>
      <x:c r="D4" s="32" t="str">
        <x:v>1.0</x:v>
      </x:c>
      <x:c r="E4" s="32" t="str">
        <x:v>Definición funcional</x:v>
      </x:c>
      <x:c r="F4" s="32" t="str">
        <x:v>Diseñado</x:v>
      </x:c>
      <x:c r="G4" s="32" t="str">
        <x:v>Pendiente de integración</x:v>
      </x:c>
      <x:c r="H4" s="32" t="str">
        <x:v>03/04/2026</x:v>
      </x:c>
      <x:c r="I4" s="32" t="str">
        <x:v>Equipo de desarrollo</x:v>
      </x:c>
      <x:c r="J4" s="32" t="str">
        <x:v>Humano</x:v>
      </x:c>
      <x:c r="K4" s="32" t="str">
        <x:v>No especificado</x:v>
      </x:c>
      <x:c r="L4" s="32" t="str">
        <x:v>No especificado</x:v>
      </x:c>
      <x:c r="M4" s="32" t="str">
        <x:v>https://github.com/PK-251/JASS-Ayacucho.git</x:v>
      </x:c>
      <x:c r="N4" s="32" t="str">
        <x:v>Alta</x:v>
      </x:c>
      <x:c r="O4" s="32" t="str">
        <x:v>Sí</x:v>
      </x:c>
      <x:c r="P4" s="33" t="str">
        <x:v>Comprobante PDF depende del pago guardado y serie única.</x:v>
      </x:c>
    </x:row>
    <x:row r="5" ht="24" hidden="0" customHeight="1">
      <x:c r="A5" s="31" t="str">
        <x:v>CV-004</x:v>
      </x:c>
      <x:c r="B5" s="32" t="str">
        <x:v>BOLT-009</x:v>
      </x:c>
      <x:c r="C5" s="32" t="str">
        <x:v>BOLT-005 / BOLT-012</x:v>
      </x:c>
      <x:c r="D5" s="32" t="str">
        <x:v>1.0</x:v>
      </x:c>
      <x:c r="E5" s="32" t="str">
        <x:v>Definición funcional</x:v>
      </x:c>
      <x:c r="F5" s="32" t="str">
        <x:v>Diseñado</x:v>
      </x:c>
      <x:c r="G5" s="32" t="str">
        <x:v>Pendiente de integración</x:v>
      </x:c>
      <x:c r="H5" s="32" t="str">
        <x:v>03/04/2026</x:v>
      </x:c>
      <x:c r="I5" s="32" t="str">
        <x:v>Equipo de desarrollo</x:v>
      </x:c>
      <x:c r="J5" s="32" t="str">
        <x:v>Humano</x:v>
      </x:c>
      <x:c r="K5" s="32" t="str">
        <x:v>No especificado</x:v>
      </x:c>
      <x:c r="L5" s="32" t="str">
        <x:v>No especificado</x:v>
      </x:c>
      <x:c r="M5" s="32" t="str">
        <x:v>https://github.com/PK-251/JASS-Ayacucho.git</x:v>
      </x:c>
      <x:c r="N5" s="32" t="str">
        <x:v>Alta</x:v>
      </x:c>
      <x:c r="O5" s="32" t="str">
        <x:v>Sí</x:v>
      </x:c>
      <x:c r="P5" s="33" t="str">
        <x:v>Reporte mensual consolida pagos, pendientes y egresos.</x:v>
      </x:c>
    </x:row>
    <x:row r="6" ht="15" hidden="0" customHeight="1">
      <x:c r="A6" s="31" t="str">
        <x:v>CV-005</x:v>
      </x:c>
      <x:c r="B6" s="32" t="str">
        <x:v>BOLT-013</x:v>
      </x:c>
      <x:c r="C6" s="32" t="str"/>
      <x:c r="D6" s="32" t="str">
        <x:v>2.0</x:v>
      </x:c>
      <x:c r="E6" s="32" t="str">
        <x:v>Plan de QA ISO</x:v>
      </x:c>
      <x:c r="F6" s="32" t="str">
        <x:v>Planificado</x:v>
      </x:c>
      <x:c r="G6" s="32" t="str">
        <x:v>Pendiente de ejecución</x:v>
      </x:c>
      <x:c r="H6" s="32" t="str">
        <x:v>03/04/2026</x:v>
      </x:c>
      <x:c r="I6" s="32" t="str">
        <x:v>Lindo Torres Raul</x:v>
      </x:c>
      <x:c r="J6" s="32" t="str">
        <x:v>Humano</x:v>
      </x:c>
      <x:c r="K6" s="32" t="str">
        <x:v>No especificado</x:v>
      </x:c>
      <x:c r="L6" s="32" t="str">
        <x:v>No especificado</x:v>
      </x:c>
      <x:c r="M6" s="32" t="str">
        <x:v>https://github.com/PK-251/JASS-Ayacucho.git</x:v>
      </x:c>
      <x:c r="N6" s="32" t="str">
        <x:v>Alta</x:v>
      </x:c>
      <x:c r="O6" s="32" t="str">
        <x:v>Sí</x:v>
      </x:c>
      <x:c r="P6" s="33" t="str">
        <x:v>Cobertura objetivo ≥80% con PHPUnit/Laravel Testing.</x:v>
      </x:c>
    </x:row>
    <x:row r="7" ht="24" hidden="0" customHeight="1">
      <x:c r="A7" s="31" t="str">
        <x:v>CV-006</x:v>
      </x:c>
      <x:c r="B7" s="32" t="str">
        <x:v>BOLT-014</x:v>
      </x:c>
      <x:c r="C7" s="32" t="str">
        <x:v>BOLT-001 / BOLT-003 / BOLT-005 / BOLT-007</x:v>
      </x:c>
      <x:c r="D7" s="32" t="str">
        <x:v>2.0</x:v>
      </x:c>
      <x:c r="E7" s="32" t="str">
        <x:v>Automatización E2E</x:v>
      </x:c>
      <x:c r="F7" s="32" t="str">
        <x:v>Planificado</x:v>
      </x:c>
      <x:c r="G7" s="32" t="str">
        <x:v>Pendiente de ejecución</x:v>
      </x:c>
      <x:c r="H7" s="32" t="str">
        <x:v>03/04/2026</x:v>
      </x:c>
      <x:c r="I7" s="32" t="str">
        <x:v>Lindo Torres Raul</x:v>
      </x:c>
      <x:c r="J7" s="32" t="str">
        <x:v>Humano</x:v>
      </x:c>
      <x:c r="K7" s="32" t="str">
        <x:v>No especificado</x:v>
      </x:c>
      <x:c r="L7" s="32" t="str">
        <x:v>No especificado</x:v>
      </x:c>
      <x:c r="M7" s="32" t="str">
        <x:v>https://github.com/PK-251/JASS-Ayacucho.git</x:v>
      </x:c>
      <x:c r="N7" s="32" t="str">
        <x:v>Alta</x:v>
      </x:c>
      <x:c r="O7" s="32" t="str">
        <x:v>Sí</x:v>
      </x:c>
      <x:c r="P7" s="33" t="str">
        <x:v>Flujo crítico login → cobro → PDF → logout con Cypress.</x:v>
      </x:c>
    </x:row>
    <x:row r="8" ht="15" hidden="0" customHeight="1">
      <x:c r="A8" s="31" t="str">
        <x:v>CV-007</x:v>
      </x:c>
      <x:c r="B8" s="32" t="str">
        <x:v>BOLT-017</x:v>
      </x:c>
      <x:c r="C8" s="32" t="str"/>
      <x:c r="D8" s="32" t="str">
        <x:v>1.0</x:v>
      </x:c>
      <x:c r="E8" s="32" t="str">
        <x:v>Configuración DevOps</x:v>
      </x:c>
      <x:c r="F8" s="32" t="str">
        <x:v>Planificado</x:v>
      </x:c>
      <x:c r="G8" s="32" t="str">
        <x:v>Pendiente de integración</x:v>
      </x:c>
      <x:c r="H8" s="32" t="str">
        <x:v>03/04/2026</x:v>
      </x:c>
      <x:c r="I8" s="32" t="str">
        <x:v>Equipo técnico</x:v>
      </x:c>
      <x:c r="J8" s="32" t="str">
        <x:v>Humano</x:v>
      </x:c>
      <x:c r="K8" s="32" t="str">
        <x:v>No especificado</x:v>
      </x:c>
      <x:c r="L8" s="32" t="str">
        <x:v>No especificado</x:v>
      </x:c>
      <x:c r="M8" s="32" t="str">
        <x:v>https://github.com/PK-251/JASS-Ayacucho.git</x:v>
      </x:c>
      <x:c r="N8" s="32" t="str">
        <x:v>Media</x:v>
      </x:c>
      <x:c r="O8" s="32" t="str">
        <x:v>Sí</x:v>
      </x:c>
      <x:c r="P8" s="33" t="str">
        <x:v>Docker Compose con servicios app, web, db y queue.</x:v>
      </x:c>
    </x:row>
    <x:row r="9" ht="36" hidden="0" customHeight="1">
      <x:c r="A9" s="34" t="str">
        <x:v>CV-008</x:v>
      </x:c>
      <x:c r="B9" s="35" t="str">
        <x:v>PROYECTO</x:v>
      </x:c>
      <x:c r="C9" s="35" t="str"/>
      <x:c r="D9" s="35" t="str">
        <x:v>2.0</x:v>
      </x:c>
      <x:c r="E9" s="35" t="str">
        <x:v>Registro de repositorio</x:v>
      </x:c>
      <x:c r="F9" s="35" t="str">
        <x:v>Activo</x:v>
      </x:c>
      <x:c r="G9" s="35" t="str">
        <x:v>Repositorio indicado por el usuario</x:v>
      </x:c>
      <x:c r="H9" s="35" t="str">
        <x:v>01/07/2026</x:v>
      </x:c>
      <x:c r="I9" s="35" t="str">
        <x:v>Lindo Torres Raul Jesús</x:v>
      </x:c>
      <x:c r="J9" s="35" t="str">
        <x:v>Humano</x:v>
      </x:c>
      <x:c r="K9" s="35" t="str">
        <x:v>No verificado desde la web</x:v>
      </x:c>
      <x:c r="L9" s="35" t="str">
        <x:v>No especificado</x:v>
      </x:c>
      <x:c r="M9" s="35" t="str">
        <x:v>https://github.com/PK-251/JASS-Ayacucho.git</x:v>
      </x:c>
      <x:c r="N9" s="35" t="str">
        <x:v>Media</x:v>
      </x:c>
      <x:c r="O9" s="35" t="str">
        <x:v>Sí</x:v>
      </x:c>
      <x:c r="P9" s="36" t="str">
        <x:v>El enlace fue incorporado como fuente del repositorio proporcionada por el usuario; no se extrajo información externa.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aa74c0d0c610461d"/>
  </x:tableParts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6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8" hidden="0" customWidth="1"/>
    <x:col min="10" max="26" width="8.710000038146973" customWidth="1"/>
  </x:cols>
  <x:sheetData>
    <x:row r="1" ht="15" hidden="0" customHeight="1">
      <x:c r="A1" s="19" t="str">
        <x:v>ID_BOLT</x:v>
      </x:c>
      <x:c r="B1" s="20" t="str">
        <x:v>INTENT</x:v>
      </x:c>
      <x:c r="C1" s="20" t="str">
        <x:v>REQUERIMIENTO</x:v>
      </x:c>
      <x:c r="D1" s="20" t="str">
        <x:v>DISEÑO</x:v>
      </x:c>
      <x:c r="E1" s="20" t="str">
        <x:v>DESARROLLO</x:v>
      </x:c>
      <x:c r="F1" s="20" t="str">
        <x:v>QA</x:v>
      </x:c>
      <x:c r="G1" s="20" t="str">
        <x:v>PRODUCCION</x:v>
      </x:c>
      <x:c r="H1" s="20" t="str">
        <x:v>RESULTADO</x:v>
      </x:c>
      <x:c r="I1" s="21" t="str">
        <x:v>ULTIMA_ACTUALIZACION</x:v>
      </x:c>
    </x:row>
    <x:row r="2" ht="24" hidden="0" customHeight="1">
      <x:c r="A2" s="31" t="str">
        <x:v>BOLT-001</x:v>
      </x:c>
      <x:c r="B2" s="32" t="str">
        <x:v>Controlar acceso seguro</x:v>
      </x:c>
      <x:c r="C2" s="32" t="str">
        <x:v>RF-01 / RNF-03 / RNF-04</x:v>
      </x:c>
      <x:c r="D2" s="32" t="str">
        <x:v>Roles administrador/operador, bloqueo y tokens REST</x:v>
      </x:c>
      <x:c r="E2" s="32" t="str">
        <x:v>Pendiente de implementar en Laravel Auth/Sanctum</x:v>
      </x:c>
      <x:c r="F2" s="32" t="str">
        <x:v>Casos TC-S01, TC-S02, TC-U07, TC-E04</x:v>
      </x:c>
      <x:c r="G2" s="32" t="str">
        <x:v>Pendiente piloto</x:v>
      </x:c>
      <x:c r="H2" s="32" t="str">
        <x:v>Acceso controlado por rol y rechazo de accesos no autorizados</x:v>
      </x:c>
      <x:c r="I2" s="33" t="str">
        <x:v>03/04/2026</x:v>
      </x:c>
    </x:row>
    <x:row r="3" ht="24" hidden="0" customHeight="1">
      <x:c r="A3" s="31" t="str">
        <x:v>BOLT-002</x:v>
      </x:c>
      <x:c r="B3" s="32" t="str">
        <x:v>Mostrar padrón con deuda calculada</x:v>
      </x:c>
      <x:c r="C3" s="32" t="str">
        <x:v>RF-02 / RNF-02</x:v>
      </x:c>
      <x:c r="D3" s="32" t="str">
        <x:v>Lista filtrable por estado y barrio</x:v>
      </x:c>
      <x:c r="E3" s="32" t="str">
        <x:v>Pendiente de backend y vista Blade</x:v>
      </x:c>
      <x:c r="F3" s="32" t="str">
        <x:v>Casos TC-S03, TC-S04</x:v>
      </x:c>
      <x:c r="G3" s="32" t="str">
        <x:v>Pendiente piloto</x:v>
      </x:c>
      <x:c r="H3" s="32" t="str">
        <x:v>Carga automática de usuarios con deuda</x:v>
      </x:c>
      <x:c r="I3" s="33" t="str">
        <x:v>03/04/2026</x:v>
      </x:c>
    </x:row>
    <x:row r="4" ht="24" hidden="0" customHeight="1">
      <x:c r="A4" s="31" t="str">
        <x:v>BOLT-003</x:v>
      </x:c>
      <x:c r="B4" s="32" t="str">
        <x:v>Localizar usuario rápidamente</x:v>
      </x:c>
      <x:c r="C4" s="32" t="str">
        <x:v>RF-03</x:v>
      </x:c>
      <x:c r="D4" s="32" t="str">
        <x:v>Búsqueda por nombre/código vía API</x:v>
      </x:c>
      <x:c r="E4" s="32" t="str">
        <x:v>Pendiente endpoint y UI</x:v>
      </x:c>
      <x:c r="F4" s="32" t="str">
        <x:v>Casos TC-S05, TC-S06, TC-I03</x:v>
      </x:c>
      <x:c r="G4" s="32" t="str">
        <x:v>Pendiente piloto</x:v>
      </x:c>
      <x:c r="H4" s="32" t="str">
        <x:v>Reducción de búsqueda manual lenta</x:v>
      </x:c>
      <x:c r="I4" s="33" t="str">
        <x:v>03/04/2026</x:v>
      </x:c>
    </x:row>
    <x:row r="5" ht="24" hidden="0" customHeight="1">
      <x:c r="A5" s="31" t="str">
        <x:v>BOLT-004</x:v>
      </x:c>
      <x:c r="B5" s="32" t="str">
        <x:v>Eliminar errores aritméticos</x:v>
      </x:c>
      <x:c r="C5" s="32" t="str">
        <x:v>RF-04 / RNF-01 / RNF-10</x:v>
      </x:c>
      <x:c r="D5" s="32" t="str">
        <x:v>Servicio de cálculo con BCMath</x:v>
      </x:c>
      <x:c r="E5" s="32" t="str">
        <x:v>Pendiente servicio Laravel</x:v>
      </x:c>
      <x:c r="F5" s="32" t="str">
        <x:v>Casos TC-U01 a TC-U04, TC-S07</x:v>
      </x:c>
      <x:c r="G5" s="32" t="str">
        <x:v>Pendiente piloto</x:v>
      </x:c>
      <x:c r="H5" s="32" t="str">
        <x:v>Cálculo preciso de cuota, deuda y multas</x:v>
      </x:c>
      <x:c r="I5" s="33" t="str">
        <x:v>03/04/2026</x:v>
      </x:c>
    </x:row>
    <x:row r="6" ht="15" hidden="0" customHeight="1">
      <x:c r="A6" s="31" t="str">
        <x:v>BOLT-005</x:v>
      </x:c>
      <x:c r="B6" s="32" t="str">
        <x:v>Registrar pagos trazables</x:v>
      </x:c>
      <x:c r="C6" s="32" t="str">
        <x:v>RF-05 / RNF-08</x:v>
      </x:c>
      <x:c r="D6" s="32" t="str">
        <x:v>Transacción MariaDB con serie única</x:v>
      </x:c>
      <x:c r="E6" s="32" t="str">
        <x:v>Pendiente modelo/controlador</x:v>
      </x:c>
      <x:c r="F6" s="32" t="str">
        <x:v>Casos TC-U05, TC-I04, TC-S08</x:v>
      </x:c>
      <x:c r="G6" s="32" t="str">
        <x:v>Pendiente piloto</x:v>
      </x:c>
      <x:c r="H6" s="32" t="str">
        <x:v>Pago persistido sin registros parciales</x:v>
      </x:c>
      <x:c r="I6" s="33" t="str">
        <x:v>03/04/2026</x:v>
      </x:c>
    </x:row>
    <x:row r="7" ht="24" hidden="0" customHeight="1">
      <x:c r="A7" s="31" t="str">
        <x:v>BOLT-006</x:v>
      </x:c>
      <x:c r="B7" s="32" t="str">
        <x:v>Controlar pagos pendientes</x:v>
      </x:c>
      <x:c r="C7" s="32" t="str">
        <x:v>RF-06</x:v>
      </x:c>
      <x:c r="D7" s="32" t="str">
        <x:v>Marcado automático de PENDIENTE</x:v>
      </x:c>
      <x:c r="E7" s="32" t="str">
        <x:v>Pendiente regla de negocio</x:v>
      </x:c>
      <x:c r="F7" s="32" t="str">
        <x:v>Casos TC-I06, TC-S09, TC-E02</x:v>
      </x:c>
      <x:c r="G7" s="32" t="str">
        <x:v>Pendiente piloto</x:v>
      </x:c>
      <x:c r="H7" s="32" t="str">
        <x:v>Deuda acumulada para siguiente ciclo</x:v>
      </x:c>
      <x:c r="I7" s="33" t="str">
        <x:v>03/04/2026</x:v>
      </x:c>
    </x:row>
    <x:row r="8" ht="24" hidden="0" customHeight="1">
      <x:c r="A8" s="31" t="str">
        <x:v>BOLT-007</x:v>
      </x:c>
      <x:c r="B8" s="32" t="str">
        <x:v>Generar comprobante verificable</x:v>
      </x:c>
      <x:c r="C8" s="32" t="str">
        <x:v>RF-07</x:v>
      </x:c>
      <x:c r="D8" s="32" t="str">
        <x:v>PDF con QR y serie única usando DomPDF</x:v>
      </x:c>
      <x:c r="E8" s="32" t="str">
        <x:v>Pendiente plantilla PDF</x:v>
      </x:c>
      <x:c r="F8" s="32" t="str">
        <x:v>Casos TC-U08, TC-S10, TC-E05</x:v>
      </x:c>
      <x:c r="G8" s="32" t="str">
        <x:v>Pendiente piloto</x:v>
      </x:c>
      <x:c r="H8" s="32" t="str">
        <x:v>Comprobante digital estandarizado</x:v>
      </x:c>
      <x:c r="I8" s="33" t="str">
        <x:v>03/04/2026</x:v>
      </x:c>
    </x:row>
    <x:row r="9" ht="24" hidden="0" customHeight="1">
      <x:c r="A9" s="31" t="str">
        <x:v>BOLT-008</x:v>
      </x:c>
      <x:c r="B9" s="32" t="str">
        <x:v>Entregar comprobante al usuario</x:v>
      </x:c>
      <x:c r="C9" s="32" t="str">
        <x:v>RF-08</x:v>
      </x:c>
      <x:c r="D9" s="32" t="str">
        <x:v>Impreso o digital con registro en historial</x:v>
      </x:c>
      <x:c r="E9" s="32" t="str">
        <x:v>Pendiente UI de entrega</x:v>
      </x:c>
      <x:c r="F9" s="32" t="str">
        <x:v>Caso TC-S11</x:v>
      </x:c>
      <x:c r="G9" s="32" t="str">
        <x:v>Pendiente piloto</x:v>
      </x:c>
      <x:c r="H9" s="32" t="str">
        <x:v>Entrega trazable del comprobante</x:v>
      </x:c>
      <x:c r="I9" s="33" t="str">
        <x:v>03/04/2026</x:v>
      </x:c>
    </x:row>
    <x:row r="10" ht="24" hidden="0" customHeight="1">
      <x:c r="A10" s="31" t="str">
        <x:v>BOLT-009</x:v>
      </x:c>
      <x:c r="B10" s="32" t="str">
        <x:v>Automatizar reporte mensual</x:v>
      </x:c>
      <x:c r="C10" s="32" t="str">
        <x:v>RF-09</x:v>
      </x:c>
      <x:c r="D10" s="32" t="str">
        <x:v>Consolidación de pagos, pendientes y egresos</x:v>
      </x:c>
      <x:c r="E10" s="32" t="str">
        <x:v>Pendiente módulo reportes</x:v>
      </x:c>
      <x:c r="F10" s="32" t="str">
        <x:v>Casos TC-I07, TC-S12, TC-E03</x:v>
      </x:c>
      <x:c r="G10" s="32" t="str">
        <x:v>Pendiente piloto</x:v>
      </x:c>
      <x:c r="H10" s="32" t="str">
        <x:v>Balance mensual automático</x:v>
      </x:c>
      <x:c r="I10" s="33" t="str">
        <x:v>03/04/2026</x:v>
      </x:c>
    </x:row>
    <x:row r="11" ht="24" hidden="0" customHeight="1">
      <x:c r="A11" s="31" t="str">
        <x:v>BOLT-010</x:v>
      </x:c>
      <x:c r="B11" s="32" t="str">
        <x:v>Aprobar rendición de cuentas</x:v>
      </x:c>
      <x:c r="C11" s="32" t="str">
        <x:v>RF-10</x:v>
      </x:c>
      <x:c r="D11" s="32" t="str">
        <x:v>Revisión y exportación PDF oficial</x:v>
      </x:c>
      <x:c r="E11" s="32" t="str">
        <x:v>Pendiente workflow aprobación</x:v>
      </x:c>
      <x:c r="F11" s="32" t="str">
        <x:v>Caso TC-S13</x:v>
      </x:c>
      <x:c r="G11" s="32" t="str">
        <x:v>Pendiente piloto</x:v>
      </x:c>
      <x:c r="H11" s="32" t="str">
        <x:v>Reporte validado para asamblea/comunidad</x:v>
      </x:c>
      <x:c r="I11" s="33" t="str">
        <x:v>03/04/2026</x:v>
      </x:c>
    </x:row>
    <x:row r="12" ht="24" hidden="0" customHeight="1">
      <x:c r="A12" s="31" t="str">
        <x:v>BOLT-011</x:v>
      </x:c>
      <x:c r="B12" s="32" t="str">
        <x:v>Administrar multas y tarifas</x:v>
      </x:c>
      <x:c r="C12" s="32" t="str">
        <x:v>RF-11</x:v>
      </x:c>
      <x:c r="D12" s="32" t="str">
        <x:v>CRUD de parámetros de cobro</x:v>
      </x:c>
      <x:c r="E12" s="32" t="str">
        <x:v>Pendiente UI/admin</x:v>
      </x:c>
      <x:c r="F12" s="32" t="str">
        <x:v>Casos TC-U09, TC-S14</x:v>
      </x:c>
      <x:c r="G12" s="32" t="str">
        <x:v>Pendiente piloto</x:v>
      </x:c>
      <x:c r="H12" s="32" t="str">
        <x:v>Reglas de multas y tarifas configurables</x:v>
      </x:c>
      <x:c r="I12" s="33" t="str">
        <x:v>03/04/2026</x:v>
      </x:c>
    </x:row>
    <x:row r="13" ht="24" hidden="0" customHeight="1">
      <x:c r="A13" s="34" t="str">
        <x:v>BOLT-012</x:v>
      </x:c>
      <x:c r="B13" s="35" t="str">
        <x:v>Registrar gastos operativos</x:v>
      </x:c>
      <x:c r="C13" s="35" t="str">
        <x:v>RF-12</x:v>
      </x:c>
      <x:c r="D13" s="35" t="str">
        <x:v>CRUD de egresos categorizados</x:v>
      </x:c>
      <x:c r="E13" s="35" t="str">
        <x:v>Pendiente módulo egresos</x:v>
      </x:c>
      <x:c r="F13" s="35" t="str">
        <x:v>Casos TC-U10, TC-S15</x:v>
      </x:c>
      <x:c r="G13" s="35" t="str">
        <x:v>Pendiente piloto</x:v>
      </x:c>
      <x:c r="H13" s="35" t="str">
        <x:v>Egresos integrados al balance mensual</x:v>
      </x:c>
      <x:c r="I13" s="36" t="str">
        <x:v>03/04/2026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a4dfad5512e54720"/>
  </x:tableParts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26" width="8.710000038146973" customWidth="1"/>
  </x:cols>
  <x:sheetData>
    <x:row r="1" ht="15" hidden="0" customHeight="1">
      <x:c r="A1" s="19" t="str">
        <x:v>ID_BOLT</x:v>
      </x:c>
      <x:c r="B1" s="20" t="str">
        <x:v>DEPENDE_DE</x:v>
      </x:c>
      <x:c r="C1" s="20" t="str">
        <x:v>TIPO_DEPENDENCIA</x:v>
      </x:c>
      <x:c r="D1" s="20" t="str">
        <x:v>IMPACTO</x:v>
      </x:c>
      <x:c r="E1" s="21" t="str">
        <x:v>OBSERVACION</x:v>
      </x:c>
    </x:row>
    <x:row r="2" ht="24" hidden="0" customHeight="1">
      <x:c r="A2" s="31" t="str">
        <x:v>BOLT-002</x:v>
      </x:c>
      <x:c r="B2" s="32" t="str">
        <x:v>BOLT-001</x:v>
      </x:c>
      <x:c r="C2" s="32" t="str">
        <x:v>Funcional</x:v>
      </x:c>
      <x:c r="D2" s="32" t="str">
        <x:v>Alto</x:v>
      </x:c>
      <x:c r="E2" s="33" t="str">
        <x:v>La lista de usuarios se carga después de un login exitoso.</x:v>
      </x:c>
    </x:row>
    <x:row r="3" ht="24" hidden="0" customHeight="1">
      <x:c r="A3" s="31" t="str">
        <x:v>BOLT-003</x:v>
      </x:c>
      <x:c r="B3" s="32" t="str">
        <x:v>BOLT-002</x:v>
      </x:c>
      <x:c r="C3" s="32" t="str">
        <x:v>Datos</x:v>
      </x:c>
      <x:c r="D3" s="32" t="str">
        <x:v>Alto</x:v>
      </x:c>
      <x:c r="E3" s="33" t="str">
        <x:v>La búsqueda requiere padrón cargado o endpoint disponible.</x:v>
      </x:c>
    </x:row>
    <x:row r="4" ht="24" hidden="0" customHeight="1">
      <x:c r="A4" s="31" t="str">
        <x:v>BOLT-004</x:v>
      </x:c>
      <x:c r="B4" s="32" t="str">
        <x:v>BOLT-003</x:v>
      </x:c>
      <x:c r="C4" s="32" t="str">
        <x:v>Funcional</x:v>
      </x:c>
      <x:c r="D4" s="32" t="str">
        <x:v>Alto</x:v>
      </x:c>
      <x:c r="E4" s="33" t="str">
        <x:v>El cálculo necesita usuario seleccionado, deuda y multas activas.</x:v>
      </x:c>
    </x:row>
    <x:row r="5" ht="24" hidden="0" customHeight="1">
      <x:c r="A5" s="31" t="str">
        <x:v>BOLT-005</x:v>
      </x:c>
      <x:c r="B5" s="32" t="str">
        <x:v>BOLT-004</x:v>
      </x:c>
      <x:c r="C5" s="32" t="str">
        <x:v>Transaccional</x:v>
      </x:c>
      <x:c r="D5" s="32" t="str">
        <x:v>Crítico</x:v>
      </x:c>
      <x:c r="E5" s="33" t="str">
        <x:v>El registro del pago depende del monto calculado correctamente.</x:v>
      </x:c>
    </x:row>
    <x:row r="6" ht="24" hidden="0" customHeight="1">
      <x:c r="A6" s="31" t="str">
        <x:v>BOLT-006</x:v>
      </x:c>
      <x:c r="B6" s="32" t="str">
        <x:v>BOLT-003</x:v>
      </x:c>
      <x:c r="C6" s="32" t="str">
        <x:v>Regla de negocio</x:v>
      </x:c>
      <x:c r="D6" s="32" t="str">
        <x:v>Medio</x:v>
      </x:c>
      <x:c r="E6" s="33" t="str">
        <x:v>El pendiente se aplica a un usuario identificado que no paga.</x:v>
      </x:c>
    </x:row>
    <x:row r="7" ht="24" hidden="0" customHeight="1">
      <x:c r="A7" s="31" t="str">
        <x:v>BOLT-007</x:v>
      </x:c>
      <x:c r="B7" s="32" t="str">
        <x:v>BOLT-005</x:v>
      </x:c>
      <x:c r="C7" s="32" t="str">
        <x:v>Funcional</x:v>
      </x:c>
      <x:c r="D7" s="32" t="str">
        <x:v>Alto</x:v>
      </x:c>
      <x:c r="E7" s="33" t="str">
        <x:v>El comprobante se genera con el pago ya registrado y serie única.</x:v>
      </x:c>
    </x:row>
    <x:row r="8" ht="15" hidden="0" customHeight="1">
      <x:c r="A8" s="31" t="str">
        <x:v>BOLT-008</x:v>
      </x:c>
      <x:c r="B8" s="32" t="str">
        <x:v>BOLT-007</x:v>
      </x:c>
      <x:c r="C8" s="32" t="str">
        <x:v>Operativa</x:v>
      </x:c>
      <x:c r="D8" s="32" t="str">
        <x:v>Medio</x:v>
      </x:c>
      <x:c r="E8" s="33" t="str">
        <x:v>La entrega depende del PDF generado correctamente.</x:v>
      </x:c>
    </x:row>
    <x:row r="9" ht="24" hidden="0" customHeight="1">
      <x:c r="A9" s="31" t="str">
        <x:v>BOLT-009</x:v>
      </x:c>
      <x:c r="B9" s="32" t="str">
        <x:v>BOLT-005 / BOLT-006 / BOLT-012</x:v>
      </x:c>
      <x:c r="C9" s="32" t="str">
        <x:v>Datos</x:v>
      </x:c>
      <x:c r="D9" s="32" t="str">
        <x:v>Crítico</x:v>
      </x:c>
      <x:c r="E9" s="33" t="str">
        <x:v>El reporte mensual consolida pagos, pendientes y egresos.</x:v>
      </x:c>
    </x:row>
    <x:row r="10" ht="15" hidden="0" customHeight="1">
      <x:c r="A10" s="31" t="str">
        <x:v>BOLT-010</x:v>
      </x:c>
      <x:c r="B10" s="32" t="str">
        <x:v>BOLT-009</x:v>
      </x:c>
      <x:c r="C10" s="32" t="str">
        <x:v>Control</x:v>
      </x:c>
      <x:c r="D10" s="32" t="str">
        <x:v>Alto</x:v>
      </x:c>
      <x:c r="E10" s="33" t="str">
        <x:v>La aprobación requiere reporte mensual generado.</x:v>
      </x:c>
    </x:row>
    <x:row r="11" ht="15" hidden="0" customHeight="1">
      <x:c r="A11" s="31" t="str">
        <x:v>BOLT-011</x:v>
      </x:c>
      <x:c r="B11" s="32" t="str">
        <x:v>BOLT-004</x:v>
      </x:c>
      <x:c r="C11" s="32" t="str">
        <x:v>Parámetros</x:v>
      </x:c>
      <x:c r="D11" s="32" t="str">
        <x:v>Alto</x:v>
      </x:c>
      <x:c r="E11" s="33" t="str">
        <x:v>Las multas y tarifas alimentan el cálculo automático.</x:v>
      </x:c>
    </x:row>
    <x:row r="12" ht="15" hidden="0" customHeight="1">
      <x:c r="A12" s="31" t="str">
        <x:v>BOLT-012</x:v>
      </x:c>
      <x:c r="B12" s="32" t="str">
        <x:v>BOLT-009</x:v>
      </x:c>
      <x:c r="C12" s="32" t="str">
        <x:v>Datos</x:v>
      </x:c>
      <x:c r="D12" s="32" t="str">
        <x:v>Alto</x:v>
      </x:c>
      <x:c r="E12" s="33" t="str">
        <x:v>Los egresos forman parte del balance mensual.</x:v>
      </x:c>
    </x:row>
    <x:row r="13" ht="36" hidden="0" customHeight="1">
      <x:c r="A13" s="31" t="str">
        <x:v>BOLT-013</x:v>
      </x:c>
      <x:c r="B13" s="32" t="str">
        <x:v>BOLT-004 / BOLT-005 / BOLT-007 / BOLT-011 / BOLT-012</x:v>
      </x:c>
      <x:c r="C13" s="32" t="str">
        <x:v>QA</x:v>
      </x:c>
      <x:c r="D13" s="32" t="str">
        <x:v>Alto</x:v>
      </x:c>
      <x:c r="E13" s="33" t="str">
        <x:v>Las pruebas unitarias validan cálculo, pagos, PDF, multas y egresos.</x:v>
      </x:c>
    </x:row>
    <x:row r="14" ht="24" hidden="0" customHeight="1">
      <x:c r="A14" s="31" t="str">
        <x:v>BOLT-014</x:v>
      </x:c>
      <x:c r="B14" s="32" t="str">
        <x:v>BOLT-001 / BOLT-003 / BOLT-005 / BOLT-007</x:v>
      </x:c>
      <x:c r="C14" s="32" t="str">
        <x:v>QA E2E</x:v>
      </x:c>
      <x:c r="D14" s="32" t="str">
        <x:v>Crítico</x:v>
      </x:c>
      <x:c r="E14" s="33" t="str">
        <x:v>El flujo crítico completo depende de módulos integrados.</x:v>
      </x:c>
    </x:row>
    <x:row r="15" ht="24" hidden="0" customHeight="1">
      <x:c r="A15" s="31" t="str">
        <x:v>BOLT-015</x:v>
      </x:c>
      <x:c r="B15" s="32" t="str">
        <x:v>BOLT-001 / BOLT-003 / BOLT-005</x:v>
      </x:c>
      <x:c r="C15" s="32" t="str">
        <x:v>QA API</x:v>
      </x:c>
      <x:c r="D15" s="32" t="str">
        <x:v>Alto</x:v>
      </x:c>
      <x:c r="E15" s="33" t="str">
        <x:v>Postman/Newman valida endpoints protegidos y persistencia.</x:v>
      </x:c>
    </x:row>
    <x:row r="16" ht="15" hidden="0" customHeight="1">
      <x:c r="A16" s="31" t="str">
        <x:v>BOLT-016</x:v>
      </x:c>
      <x:c r="B16" s="32" t="str">
        <x:v>BOLT-002 / BOLT-004</x:v>
      </x:c>
      <x:c r="C16" s="32" t="str">
        <x:v>Rendimiento</x:v>
      </x:c>
      <x:c r="D16" s="32" t="str">
        <x:v>Medio</x:v>
      </x:c>
      <x:c r="E16" s="33" t="str">
        <x:v>Las pruebas de carga miden lista y cálculo.</x:v>
      </x:c>
    </x:row>
    <x:row r="17" ht="24" hidden="0" customHeight="1">
      <x:c r="A17" s="34" t="str">
        <x:v>BOLT-017</x:v>
      </x:c>
      <x:c r="B17" s="35" t="str">
        <x:v>Todos</x:v>
      </x:c>
      <x:c r="C17" s="35" t="str">
        <x:v>Infraestructura</x:v>
      </x:c>
      <x:c r="D17" s="35" t="str">
        <x:v>Crítico</x:v>
      </x:c>
      <x:c r="E17" s="36" t="str">
        <x:v>El entorno Docker soporta integración, pruebas y despliegue.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e5de298ccf1b4bc4"/>
  </x:tableParts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8" hidden="0" customWidth="1"/>
    <x:col min="9" max="26" width="8.710000038146973" customWidth="1"/>
  </x:cols>
  <x:sheetData>
    <x:row r="1" ht="15" hidden="0" customHeight="1">
      <x:c r="A1" s="19" t="str">
        <x:v>MERGE_ID</x:v>
      </x:c>
      <x:c r="B1" s="20" t="str">
        <x:v>TIPO_MERGE</x:v>
      </x:c>
      <x:c r="C1" s="20" t="str">
        <x:v>RAMA_ORIGEN</x:v>
      </x:c>
      <x:c r="D1" s="20" t="str">
        <x:v>RAMA_DESTINO</x:v>
      </x:c>
      <x:c r="E1" s="20" t="str">
        <x:v>FECHA</x:v>
      </x:c>
      <x:c r="F1" s="20" t="str">
        <x:v>RESPONSABLE</x:v>
      </x:c>
      <x:c r="G1" s="20" t="str">
        <x:v>ESTADO</x:v>
      </x:c>
      <x:c r="H1" s="21" t="str">
        <x:v>OBSERVACION</x:v>
      </x:c>
    </x:row>
    <x:row r="2" ht="15" hidden="0" customHeight="1">
      <x:c r="A2" s="31" t="str">
        <x:v>MR-001</x:v>
      </x:c>
      <x:c r="B2" s="32" t="str">
        <x:v>Feature</x:v>
      </x:c>
      <x:c r="C2" s="32" t="str">
        <x:v>feature/auth</x:v>
      </x:c>
      <x:c r="D2" s="32" t="str">
        <x:v>develop</x:v>
      </x:c>
      <x:c r="E2" s="32" t="str">
        <x:v>03/04/2026</x:v>
      </x:c>
      <x:c r="F2" s="32" t="str">
        <x:v>Equipo de desarrollo</x:v>
      </x:c>
      <x:c r="G2" s="32" t="str">
        <x:v>Planificado</x:v>
      </x:c>
      <x:c r="H2" s="33" t="str">
        <x:v>Integrar autenticación y roles RF-01.</x:v>
      </x:c>
    </x:row>
    <x:row r="3" ht="24" hidden="0" customHeight="1">
      <x:c r="A3" s="31" t="str">
        <x:v>MR-002</x:v>
      </x:c>
      <x:c r="B3" s="32" t="str">
        <x:v>Feature</x:v>
      </x:c>
      <x:c r="C3" s="32" t="str">
        <x:v>feature/usuarios</x:v>
      </x:c>
      <x:c r="D3" s="32" t="str">
        <x:v>develop</x:v>
      </x:c>
      <x:c r="E3" s="32" t="str">
        <x:v>03/04/2026</x:v>
      </x:c>
      <x:c r="F3" s="32" t="str">
        <x:v>Equipo de desarrollo</x:v>
      </x:c>
      <x:c r="G3" s="32" t="str">
        <x:v>Planificado</x:v>
      </x:c>
      <x:c r="H3" s="33" t="str">
        <x:v>Integrar padrón, carga de usuarios y búsqueda RF-02/RF-03.</x:v>
      </x:c>
    </x:row>
    <x:row r="4" ht="24" hidden="0" customHeight="1">
      <x:c r="A4" s="31" t="str">
        <x:v>MR-003</x:v>
      </x:c>
      <x:c r="B4" s="32" t="str">
        <x:v>Feature</x:v>
      </x:c>
      <x:c r="C4" s="32" t="str">
        <x:v>feature/cobros</x:v>
      </x:c>
      <x:c r="D4" s="32" t="str">
        <x:v>develop</x:v>
      </x:c>
      <x:c r="E4" s="32" t="str">
        <x:v>03/04/2026</x:v>
      </x:c>
      <x:c r="F4" s="32" t="str">
        <x:v>Equipo de desarrollo</x:v>
      </x:c>
      <x:c r="G4" s="32" t="str">
        <x:v>Planificado</x:v>
      </x:c>
      <x:c r="H4" s="33" t="str">
        <x:v>Integrar cálculo, pagos y pendientes RF-04/RF-05/RF-06.</x:v>
      </x:c>
    </x:row>
    <x:row r="5" ht="24" hidden="0" customHeight="1">
      <x:c r="A5" s="31" t="str">
        <x:v>MR-004</x:v>
      </x:c>
      <x:c r="B5" s="32" t="str">
        <x:v>Feature</x:v>
      </x:c>
      <x:c r="C5" s="32" t="str">
        <x:v>feature/pdf-comprobantes</x:v>
      </x:c>
      <x:c r="D5" s="32" t="str">
        <x:v>develop</x:v>
      </x:c>
      <x:c r="E5" s="32" t="str">
        <x:v>03/04/2026</x:v>
      </x:c>
      <x:c r="F5" s="32" t="str">
        <x:v>Equipo de desarrollo</x:v>
      </x:c>
      <x:c r="G5" s="32" t="str">
        <x:v>Planificado</x:v>
      </x:c>
      <x:c r="H5" s="33" t="str">
        <x:v>Integrar comprobante PDF y entrega RF-07/RF-08.</x:v>
      </x:c>
    </x:row>
    <x:row r="6" ht="15" hidden="0" customHeight="1">
      <x:c r="A6" s="31" t="str">
        <x:v>MR-005</x:v>
      </x:c>
      <x:c r="B6" s="32" t="str">
        <x:v>Feature</x:v>
      </x:c>
      <x:c r="C6" s="32" t="str">
        <x:v>feature/reportes</x:v>
      </x:c>
      <x:c r="D6" s="32" t="str">
        <x:v>develop</x:v>
      </x:c>
      <x:c r="E6" s="32" t="str">
        <x:v>03/04/2026</x:v>
      </x:c>
      <x:c r="F6" s="32" t="str">
        <x:v>Equipo de desarrollo</x:v>
      </x:c>
      <x:c r="G6" s="32" t="str">
        <x:v>Planificado</x:v>
      </x:c>
      <x:c r="H6" s="33" t="str">
        <x:v>Integrar reporte mensual y validación RF-09/RF-10.</x:v>
      </x:c>
    </x:row>
    <x:row r="7" ht="15" hidden="0" customHeight="1">
      <x:c r="A7" s="31" t="str">
        <x:v>MR-006</x:v>
      </x:c>
      <x:c r="B7" s="32" t="str">
        <x:v>Feature</x:v>
      </x:c>
      <x:c r="C7" s="32" t="str">
        <x:v>feature/egresos</x:v>
      </x:c>
      <x:c r="D7" s="32" t="str">
        <x:v>develop</x:v>
      </x:c>
      <x:c r="E7" s="32" t="str">
        <x:v>03/04/2026</x:v>
      </x:c>
      <x:c r="F7" s="32" t="str">
        <x:v>Equipo de desarrollo</x:v>
      </x:c>
      <x:c r="G7" s="32" t="str">
        <x:v>Planificado</x:v>
      </x:c>
      <x:c r="H7" s="33" t="str">
        <x:v>Integrar registro de egresos RF-12.</x:v>
      </x:c>
    </x:row>
    <x:row r="8" ht="15" hidden="0" customHeight="1">
      <x:c r="A8" s="31" t="str">
        <x:v>MR-007</x:v>
      </x:c>
      <x:c r="B8" s="32" t="str">
        <x:v>QA</x:v>
      </x:c>
      <x:c r="C8" s="32" t="str">
        <x:v>test/e2e</x:v>
      </x:c>
      <x:c r="D8" s="32" t="str">
        <x:v>develop</x:v>
      </x:c>
      <x:c r="E8" s="32" t="str">
        <x:v>03/04/2026</x:v>
      </x:c>
      <x:c r="F8" s="32" t="str">
        <x:v>Lindo Torres Raul</x:v>
      </x:c>
      <x:c r="G8" s="32" t="str">
        <x:v>Planificado</x:v>
      </x:c>
      <x:c r="H8" s="33" t="str">
        <x:v>Integrar scripts Cypress y k6 para pruebas.</x:v>
      </x:c>
    </x:row>
    <x:row r="9" ht="24" hidden="0" customHeight="1">
      <x:c r="A9" s="31" t="str">
        <x:v>MR-008</x:v>
      </x:c>
      <x:c r="B9" s="32" t="str">
        <x:v>Release</x:v>
      </x:c>
      <x:c r="C9" s="32" t="str">
        <x:v>develop</x:v>
      </x:c>
      <x:c r="D9" s="32" t="str">
        <x:v>main</x:v>
      </x:c>
      <x:c r="E9" s="32" t="str">
        <x:v>03/04/2026</x:v>
      </x:c>
      <x:c r="F9" s="32" t="str">
        <x:v>Huanca Asto Joacim</x:v>
      </x:c>
      <x:c r="G9" s="32" t="str">
        <x:v>Pendiente</x:v>
      </x:c>
      <x:c r="H9" s="33" t="str">
        <x:v>Promover versión estable para demostración del proyecto.</x:v>
      </x:c>
    </x:row>
    <x:row r="10" ht="15" hidden="0" customHeight="1">
      <x:c r="A10" s="34" t="str">
        <x:v>MR-009</x:v>
      </x:c>
      <x:c r="B10" s="35" t="str">
        <x:v>Hotfix</x:v>
      </x:c>
      <x:c r="C10" s="35" t="str">
        <x:v>hotfix/*</x:v>
      </x:c>
      <x:c r="D10" s="35" t="str">
        <x:v>main</x:v>
      </x:c>
      <x:c r="E10" s="35" t="str">
        <x:v>03/04/2026</x:v>
      </x:c>
      <x:c r="F10" s="35" t="str">
        <x:v>Equipo técnico</x:v>
      </x:c>
      <x:c r="G10" s="35" t="str">
        <x:v>Condicional</x:v>
      </x:c>
      <x:c r="H10" s="36" t="str">
        <x:v>Correcciones urgentes de seguridad o fallos críticos.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sqref="G2:G10">
      <x:formula1>"Definido,Diseñado,En desarrollo,Planificado,Pendiente,Activo,Completado,Rechazado,En revisión"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dd3b742b5547cf"/>
  </x:tableParts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26" width="8.710000038146973" customWidth="1"/>
  </x:cols>
  <x:sheetData>
    <x:row r="1" ht="15" hidden="0" customHeight="1">
      <x:c r="A1" s="19" t="str">
        <x:v>FECHA</x:v>
      </x:c>
      <x:c r="B1" s="20" t="str">
        <x:v>ID_BOLT</x:v>
      </x:c>
      <x:c r="C1" s="20" t="str">
        <x:v>VERSION</x:v>
      </x:c>
      <x:c r="D1" s="20" t="str">
        <x:v>EVENTO</x:v>
      </x:c>
      <x:c r="E1" s="20" t="str">
        <x:v>DESCRIPCION_CAMBIO</x:v>
      </x:c>
      <x:c r="F1" s="20" t="str">
        <x:v>AGENTE</x:v>
      </x:c>
      <x:c r="G1" s="21" t="str">
        <x:v>RESPONSABLE</x:v>
      </x:c>
    </x:row>
    <x:row r="2" ht="24" hidden="0" customHeight="1">
      <x:c r="A2" s="31" t="str">
        <x:v>03/04/2026</x:v>
      </x:c>
      <x:c r="B2" s="32" t="str">
        <x:v>PROYECTO</x:v>
      </x:c>
      <x:c r="C2" s="32" t="str">
        <x:v>1.0</x:v>
      </x:c>
      <x:c r="D2" s="32" t="str">
        <x:v>Elaboración inicial</x:v>
      </x:c>
      <x:c r="E2" s="32" t="str">
        <x:v>Se definió el proyecto Sistema Web de Gestión de Pagos de Agua Potable para J.A.S.S. QUILCATA.</x:v>
      </x:c>
      <x:c r="F2" s="32" t="str">
        <x:v>Humano</x:v>
      </x:c>
      <x:c r="G2" s="33" t="str">
        <x:v>Equipo de proyecto</x:v>
      </x:c>
    </x:row>
    <x:row r="3" ht="24" hidden="0" customHeight="1">
      <x:c r="A3" s="31" t="str">
        <x:v>03/04/2026</x:v>
      </x:c>
      <x:c r="B3" s="32" t="str">
        <x:v>PROYECTO</x:v>
      </x:c>
      <x:c r="C3" s="32" t="str">
        <x:v>2.0</x:v>
      </x:c>
      <x:c r="D3" s="32" t="str">
        <x:v>Alineación ISO</x:v>
      </x:c>
      <x:c r="E3" s="32" t="str">
        <x:v>Se documentó el plan de pruebas con ISO 9001, ISO/IEC 25000, ISO/IEC 29119 e ISO/IEC 27000.</x:v>
      </x:c>
      <x:c r="F3" s="32" t="str">
        <x:v>Humano</x:v>
      </x:c>
      <x:c r="G3" s="33" t="str">
        <x:v>Equipo de QA</x:v>
      </x:c>
    </x:row>
    <x:row r="4" ht="24" hidden="0" customHeight="1">
      <x:c r="A4" s="31" t="str">
        <x:v>03/04/2026</x:v>
      </x:c>
      <x:c r="B4" s="32" t="str">
        <x:v>BOLT-001</x:v>
      </x:c>
      <x:c r="C4" s="32" t="str">
        <x:v>1.0</x:v>
      </x:c>
      <x:c r="D4" s="32" t="str">
        <x:v>Definición de autenticación</x:v>
      </x:c>
      <x:c r="E4" s="32" t="str">
        <x:v>Se definió login con roles, bloqueo por intentos fallidos y tokens REST.</x:v>
      </x:c>
      <x:c r="F4" s="32" t="str">
        <x:v>Humano</x:v>
      </x:c>
      <x:c r="G4" s="33" t="str">
        <x:v>Equipo de desarrollo</x:v>
      </x:c>
    </x:row>
    <x:row r="5" ht="24" hidden="0" customHeight="1">
      <x:c r="A5" s="31" t="str">
        <x:v>03/04/2026</x:v>
      </x:c>
      <x:c r="B5" s="32" t="str">
        <x:v>BOLT-004</x:v>
      </x:c>
      <x:c r="C5" s="32" t="str">
        <x:v>1.0</x:v>
      </x:c>
      <x:c r="D5" s="32" t="str">
        <x:v>Definición de cálculo</x:v>
      </x:c>
      <x:c r="E5" s="32" t="str">
        <x:v>Se definió cálculo automático de cuota, deuda y multas usando backend Laravel y BCMath.</x:v>
      </x:c>
      <x:c r="F5" s="32" t="str">
        <x:v>Humano</x:v>
      </x:c>
      <x:c r="G5" s="33" t="str">
        <x:v>Equipo de desarrollo</x:v>
      </x:c>
    </x:row>
    <x:row r="6" ht="24" hidden="0" customHeight="1">
      <x:c r="A6" s="31" t="str">
        <x:v>03/04/2026</x:v>
      </x:c>
      <x:c r="B6" s="32" t="str">
        <x:v>BOLT-005</x:v>
      </x:c>
      <x:c r="C6" s="32" t="str">
        <x:v>1.0</x:v>
      </x:c>
      <x:c r="D6" s="32" t="str">
        <x:v>Definición de pago digital</x:v>
      </x:c>
      <x:c r="E6" s="32" t="str">
        <x:v>Se definió registro de pago en MariaDB con transacción atómica y número de serie único.</x:v>
      </x:c>
      <x:c r="F6" s="32" t="str">
        <x:v>Humano</x:v>
      </x:c>
      <x:c r="G6" s="33" t="str">
        <x:v>Equipo de desarrollo</x:v>
      </x:c>
    </x:row>
    <x:row r="7" ht="24" hidden="0" customHeight="1">
      <x:c r="A7" s="31" t="str">
        <x:v>03/04/2026</x:v>
      </x:c>
      <x:c r="B7" s="32" t="str">
        <x:v>BOLT-007</x:v>
      </x:c>
      <x:c r="C7" s="32" t="str">
        <x:v>1.0</x:v>
      </x:c>
      <x:c r="D7" s="32" t="str">
        <x:v>Definición de comprobante</x:v>
      </x:c>
      <x:c r="E7" s="32" t="str">
        <x:v>Se definió comprobante PDF con serie única, desglose y código QR.</x:v>
      </x:c>
      <x:c r="F7" s="32" t="str">
        <x:v>Humano</x:v>
      </x:c>
      <x:c r="G7" s="33" t="str">
        <x:v>Equipo de desarrollo</x:v>
      </x:c>
    </x:row>
    <x:row r="8" ht="24" hidden="0" customHeight="1">
      <x:c r="A8" s="31" t="str">
        <x:v>03/04/2026</x:v>
      </x:c>
      <x:c r="B8" s="32" t="str">
        <x:v>BOLT-009</x:v>
      </x:c>
      <x:c r="C8" s="32" t="str">
        <x:v>1.0</x:v>
      </x:c>
      <x:c r="D8" s="32" t="str">
        <x:v>Definición de reportes</x:v>
      </x:c>
      <x:c r="E8" s="32" t="str">
        <x:v>Se definió reporte mensual automático con ingresos, egresos, pendientes y balance.</x:v>
      </x:c>
      <x:c r="F8" s="32" t="str">
        <x:v>Humano</x:v>
      </x:c>
      <x:c r="G8" s="33" t="str">
        <x:v>Equipo de desarrollo</x:v>
      </x:c>
    </x:row>
    <x:row r="9" ht="24" hidden="0" customHeight="1">
      <x:c r="A9" s="31" t="str">
        <x:v>03/04/2026</x:v>
      </x:c>
      <x:c r="B9" s="32" t="str">
        <x:v>BOLT-013</x:v>
      </x:c>
      <x:c r="C9" s="32" t="str">
        <x:v>2.0</x:v>
      </x:c>
      <x:c r="D9" s="32" t="str">
        <x:v>Plan de pruebas unitarias</x:v>
      </x:c>
      <x:c r="E9" s="32" t="str">
        <x:v>Se planificó PHPUnit/Laravel Testing con cobertura objetivo ≥80%.</x:v>
      </x:c>
      <x:c r="F9" s="32" t="str">
        <x:v>Humano</x:v>
      </x:c>
      <x:c r="G9" s="33" t="str">
        <x:v>Lindo Torres Raul</x:v>
      </x:c>
    </x:row>
    <x:row r="10" ht="24" hidden="0" customHeight="1">
      <x:c r="A10" s="31" t="str">
        <x:v>03/04/2026</x:v>
      </x:c>
      <x:c r="B10" s="32" t="str">
        <x:v>BOLT-014</x:v>
      </x:c>
      <x:c r="C10" s="32" t="str">
        <x:v>2.0</x:v>
      </x:c>
      <x:c r="D10" s="32" t="str">
        <x:v>Plan de pruebas E2E</x:v>
      </x:c>
      <x:c r="E10" s="32" t="str">
        <x:v>Se planificó Cypress para flujo crítico en Chrome, Firefox y Edge.</x:v>
      </x:c>
      <x:c r="F10" s="32" t="str">
        <x:v>Humano</x:v>
      </x:c>
      <x:c r="G10" s="33" t="str">
        <x:v>Lindo Torres Raul</x:v>
      </x:c>
    </x:row>
    <x:row r="11" ht="36" hidden="0" customHeight="1">
      <x:c r="A11" s="34" t="str">
        <x:v>01/07/2026</x:v>
      </x:c>
      <x:c r="B11" s="35" t="str">
        <x:v>PROYECTO</x:v>
      </x:c>
      <x:c r="C11" s="35" t="str">
        <x:v>2.0</x:v>
      </x:c>
      <x:c r="D11" s="35" t="str">
        <x:v>Matriz rellenada</x:v>
      </x:c>
      <x:c r="E11" s="35" t="str">
        <x:v>Se completó el formato Excel de matriz de doble entrada usando solo documentos cargados y el enlace de repositorio proporcionado.</x:v>
      </x:c>
      <x:c r="F11" s="35" t="str">
        <x:v>Asistente</x:v>
      </x:c>
      <x:c r="G11" s="36" t="str">
        <x:v>ChatGPT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6ddd9653eaa451b"/>
  </x:tableParts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18" hidden="0" customWidth="1"/>
    <x:col min="2" max="2" width="18" hidden="0" customWidth="1"/>
    <x:col min="3" max="3" width="16" hidden="0" customWidth="1"/>
    <x:col min="4" max="5" width="13.569999694824219" customWidth="1"/>
    <x:col min="6" max="6" width="16" hidden="0" customWidth="1"/>
    <x:col min="7" max="7" width="38" hidden="0" customWidth="1"/>
    <x:col min="8" max="26" width="8.710000038146973" customWidth="1"/>
    <x:col min="4" max="4" width="28" hidden="0" customWidth="1"/>
    <x:col min="5" max="5" width="38" hidden="0" customWidth="1"/>
  </x:cols>
  <x:sheetData>
    <x:row r="1" ht="15" hidden="0" customHeight="1">
      <x:c r="A1" s="19" t="str">
        <x:v>ID_ARTEFACTO</x:v>
      </x:c>
      <x:c r="B1" s="20" t="str">
        <x:v>TIPO_ARTEFACTO</x:v>
      </x:c>
      <x:c r="C1" s="20" t="str">
        <x:v>ID_BOLT</x:v>
      </x:c>
      <x:c r="D1" s="20" t="str">
        <x:v>NOMBRE</x:v>
      </x:c>
      <x:c r="E1" s="20" t="str">
        <x:v>RUTA_URL</x:v>
      </x:c>
      <x:c r="F1" s="20" t="str">
        <x:v>VERSION</x:v>
      </x:c>
      <x:c r="G1" s="21" t="str">
        <x:v>OBSERVACION</x:v>
      </x:c>
    </x:row>
    <x:row r="2" ht="24" hidden="0" customHeight="1">
      <x:c r="A2" s="31" t="str">
        <x:v>ART-001</x:v>
      </x:c>
      <x:c r="B2" s="32" t="str">
        <x:v>Informe PDF</x:v>
      </x:c>
      <x:c r="C2" s="32" t="str">
        <x:v>PROYECTO</x:v>
      </x:c>
      <x:c r="D2" s="32" t="str">
        <x:v>Informe_JASS_QUILCATA.docx(1).pdf</x:v>
      </x:c>
      <x:c r="E2" s="32" t="str">
        <x:v>/mnt/data/Informe_JASS_QUILCATA.docx(1).pdf</x:v>
      </x:c>
      <x:c r="F2" s="32" t="str">
        <x:v>2026</x:v>
      </x:c>
      <x:c r="G2" s="33" t="str">
        <x:v>Fuente principal: contexto, problema, AS-IS, TO-BE, RF, RNF, casos de uso, arquitectura, calidad y métricas.</x:v>
      </x:c>
    </x:row>
    <x:row r="3" ht="24" hidden="0" customHeight="1">
      <x:c r="A3" s="31" t="str">
        <x:v>ART-002</x:v>
      </x:c>
      <x:c r="B3" s="32" t="str">
        <x:v>Plan de pruebas PDF</x:v>
      </x:c>
      <x:c r="C3" s="32" t="str">
        <x:v>BOLT-013</x:v>
      </x:c>
      <x:c r="D3" s="32" t="str">
        <x:v>Plan_Pruebas_JASS_QUILCATA.pdf</x:v>
      </x:c>
      <x:c r="E3" s="32" t="str">
        <x:v>/mnt/data/Plan_Pruebas_JASS_QUILCATA.pdf</x:v>
      </x:c>
      <x:c r="F3" s="32" t="str">
        <x:v>1.0</x:v>
      </x:c>
      <x:c r="G3" s="33" t="str">
        <x:v>Plan de pruebas de software con alcance, módulos RF, criterios, estrategia y entregables.</x:v>
      </x:c>
    </x:row>
    <x:row r="4" ht="24" hidden="0" customHeight="1">
      <x:c r="A4" s="31" t="str">
        <x:v>ART-003</x:v>
      </x:c>
      <x:c r="B4" s="32" t="str">
        <x:v>Plan detallado ISO PDF</x:v>
      </x:c>
      <x:c r="C4" s="32" t="str">
        <x:v>BOLT-013</x:v>
      </x:c>
      <x:c r="D4" s="32" t="str">
        <x:v>Plan de pruebas - Detallado.docx.pdf</x:v>
      </x:c>
      <x:c r="E4" s="32" t="str">
        <x:v>/mnt/data/Plan de pruebas - Detallado.docx.pdf</x:v>
      </x:c>
      <x:c r="F4" s="32" t="str">
        <x:v>2.0</x:v>
      </x:c>
      <x:c r="G4" s="33" t="str">
        <x:v>Plan alineado con ISO 9001, ISO/IEC 25000, ISO/IEC 29119 e ISO/IEC 27000.</x:v>
      </x:c>
    </x:row>
    <x:row r="5" ht="36" hidden="0" customHeight="1">
      <x:c r="A5" s="31" t="str">
        <x:v>ART-004</x:v>
      </x:c>
      <x:c r="B5" s="32" t="str">
        <x:v>Presentación PPTX</x:v>
      </x:c>
      <x:c r="C5" s="32" t="str">
        <x:v>PROYECTO</x:v>
      </x:c>
      <x:c r="D5" s="32" t="str">
        <x:v>Exposicion JASS_QUILCATA.pptx</x:v>
      </x:c>
      <x:c r="E5" s="32" t="str">
        <x:v>/mnt/data/Exposicion JASS_QUILCATA.pptx</x:v>
      </x:c>
      <x:c r="F5" s="32" t="str">
        <x:v>2026</x:v>
      </x:c>
      <x:c r="G5" s="33" t="str">
        <x:v>Resumen visual del contexto, problemas, requerimientos, arquitectura, stack, pruebas y métricas.</x:v>
      </x:c>
    </x:row>
    <x:row r="6" ht="24" hidden="0" customHeight="1">
      <x:c r="A6" s="31" t="str">
        <x:v>ART-005</x:v>
      </x:c>
      <x:c r="B6" s="32" t="str">
        <x:v>Estado del arte DOCX</x:v>
      </x:c>
      <x:c r="C6" s="32" t="str">
        <x:v>PROYECTO</x:v>
      </x:c>
      <x:c r="D6" s="32" t="str">
        <x:v>Estado_del_Arte_JASS_QUILCATA_V0.docx</x:v>
      </x:c>
      <x:c r="E6" s="32" t="str">
        <x:v>/mnt/data/Estado_del_Arte_JASS_QUILCATA_V0.docx</x:v>
      </x:c>
      <x:c r="F6" s="32" t="str">
        <x:v>V0</x:v>
      </x:c>
      <x:c r="G6" s="33" t="str">
        <x:v>Estado del arte amplio sobre gestión comunitaria, digitalización, BPM, MVC, Laravel y calidad.</x:v>
      </x:c>
    </x:row>
    <x:row r="7" ht="36" hidden="0" customHeight="1">
      <x:c r="A7" s="31" t="str">
        <x:v>ART-006</x:v>
      </x:c>
      <x:c r="B7" s="32" t="str">
        <x:v>Estado del arte DOCX</x:v>
      </x:c>
      <x:c r="C7" s="32" t="str">
        <x:v>PROYECTO</x:v>
      </x:c>
      <x:c r="D7" s="32" t="str">
        <x:v>Estado_del_Arte_JASS_QUILCATA_V1.docx</x:v>
      </x:c>
      <x:c r="E7" s="32" t="str">
        <x:v>/mnt/data/Estado_del_Arte_JASS_QUILCATA_V1.docx</x:v>
      </x:c>
      <x:c r="F7" s="32" t="str">
        <x:v>V1</x:v>
      </x:c>
      <x:c r="G7" s="33" t="str">
        <x:v>Antecedentes específicos sobre agua rural, gobernanza, sistemas de información y aplicaciones tecnológicas.</x:v>
      </x:c>
    </x:row>
    <x:row r="8" ht="24" hidden="0" customHeight="1">
      <x:c r="A8" s="31" t="str">
        <x:v>ART-007</x:v>
      </x:c>
      <x:c r="B8" s="32" t="str">
        <x:v>Excel de pruebas</x:v>
      </x:c>
      <x:c r="C8" s="32" t="str">
        <x:v>BOLT-013</x:v>
      </x:c>
      <x:c r="D8" s="32" t="str">
        <x:v>Pruebas_Manuales_JASS_QUILCATA.xlsx</x:v>
      </x:c>
      <x:c r="E8" s="32" t="str">
        <x:v>/mnt/data/Pruebas_Manuales_JASS_QUILCATA.xlsx</x:v>
      </x:c>
      <x:c r="F8" s="32" t="str">
        <x:v>2026</x:v>
      </x:c>
      <x:c r="G8" s="33" t="str">
        <x:v>Base complementaria de pruebas manuales del proyecto.</x:v>
      </x:c>
    </x:row>
    <x:row r="9" ht="24" hidden="0" customHeight="1">
      <x:c r="A9" s="31" t="str">
        <x:v>ART-008</x:v>
      </x:c>
      <x:c r="B9" s="32" t="str">
        <x:v>Repositorio GitHub</x:v>
      </x:c>
      <x:c r="C9" s="32" t="str">
        <x:v>PROYECTO</x:v>
      </x:c>
      <x:c r="D9" s="32" t="str">
        <x:v>Repositorio JASS-Ayacucho</x:v>
      </x:c>
      <x:c r="E9" s="32" t="str">
        <x:v>https://github.com/PK-251/JASS-Ayacucho.git</x:v>
      </x:c>
      <x:c r="F9" s="32" t="str">
        <x:v>Actual</x:v>
      </x:c>
      <x:c r="G9" s="33" t="str">
        <x:v>Enlace proporcionado por el usuario; se registra como fuente del repositorio sin extraer información externa.</x:v>
      </x:c>
    </x:row>
    <x:row r="10" ht="24" hidden="0" customHeight="1">
      <x:c r="A10" s="34" t="str">
        <x:v>ART-009</x:v>
      </x:c>
      <x:c r="B10" s="35" t="str">
        <x:v>Matriz Excel</x:v>
      </x:c>
      <x:c r="C10" s="35" t="str">
        <x:v>PROYECTO</x:v>
      </x:c>
      <x:c r="D10" s="35" t="str">
        <x:v>Matriz de doble entrada rellenada</x:v>
      </x:c>
      <x:c r="E10" s="35" t="str">
        <x:v>/mnt/data/Matriz_doble_entrada_JASS_QUILCATA_rellenada.xlsx</x:v>
      </x:c>
      <x:c r="F10" s="35" t="str">
        <x:v>Final</x:v>
      </x:c>
      <x:c r="G10" s="36" t="str">
        <x:v>Archivo final desarrollado en el formato entregado.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fa0bfab4b35f4631"/>
  </x:tableParts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38" hidden="0" customWidth="1"/>
    <x:col min="7" max="26" width="8.710000038146973" customWidth="1"/>
  </x:cols>
  <x:sheetData>
    <x:row r="1" ht="15" hidden="0" customHeight="1">
      <x:c r="A1" s="19" t="str">
        <x:v>ID_PMV</x:v>
      </x:c>
      <x:c r="B1" s="20" t="str">
        <x:v>NOMBRE_PMV</x:v>
      </x:c>
      <x:c r="C1" s="20" t="str">
        <x:v>ID_BOLT</x:v>
      </x:c>
      <x:c r="D1" s="20" t="str">
        <x:v>MODULO</x:v>
      </x:c>
      <x:c r="E1" s="20" t="str">
        <x:v>ESTADO</x:v>
      </x:c>
      <x:c r="F1" s="21" t="str">
        <x:v>OBSERVACION</x:v>
      </x:c>
    </x:row>
    <x:row r="2" ht="24" hidden="0" customHeight="1">
      <x:c r="A2" s="31" t="str">
        <x:v>PMV-01</x:v>
      </x:c>
      <x:c r="B2" s="32" t="str">
        <x:v>Acceso seguro inicial</x:v>
      </x:c>
      <x:c r="C2" s="32" t="str">
        <x:v>BOLT-001</x:v>
      </x:c>
      <x:c r="D2" s="32" t="str">
        <x:v>Autenticación y control de acceso</x:v>
      </x:c>
      <x:c r="E2" s="32" t="str">
        <x:v>Definido</x:v>
      </x:c>
      <x:c r="F2" s="33" t="str">
        <x:v>Permite ingresar con roles diferenciados y proteger los módulos del sistema.</x:v>
      </x:c>
    </x:row>
    <x:row r="3" ht="24" hidden="0" customHeight="1">
      <x:c r="A3" s="31" t="str">
        <x:v>PMV-02</x:v>
      </x:c>
      <x:c r="B3" s="32" t="str">
        <x:v>Padrón y búsqueda digital</x:v>
      </x:c>
      <x:c r="C3" s="32" t="str">
        <x:v>BOLT-002 / BOLT-003 / BOLT-018</x:v>
      </x:c>
      <x:c r="D3" s="32" t="str">
        <x:v>Usuarios y búsqueda</x:v>
      </x:c>
      <x:c r="E3" s="32" t="str">
        <x:v>Definido</x:v>
      </x:c>
      <x:c r="F3" s="33" t="str">
        <x:v>Reduce búsqueda manual lenta y habilita consulta de historial.</x:v>
      </x:c>
    </x:row>
    <x:row r="4" ht="24" hidden="0" customHeight="1">
      <x:c r="A4" s="31" t="str">
        <x:v>PMV-03</x:v>
      </x:c>
      <x:c r="B4" s="32" t="str">
        <x:v>Cobro digital completo</x:v>
      </x:c>
      <x:c r="C4" s="32" t="str">
        <x:v>BOLT-004 / BOLT-005 / BOLT-006</x:v>
      </x:c>
      <x:c r="D4" s="32" t="str">
        <x:v>Cálculo, pago y pendientes</x:v>
      </x:c>
      <x:c r="E4" s="32" t="str">
        <x:v>Definido</x:v>
      </x:c>
      <x:c r="F4" s="33" t="str">
        <x:v>Automatiza cálculo, registra pagos y marca pendientes.</x:v>
      </x:c>
    </x:row>
    <x:row r="5" ht="24" hidden="0" customHeight="1">
      <x:c r="A5" s="31" t="str">
        <x:v>PMV-04</x:v>
      </x:c>
      <x:c r="B5" s="32" t="str">
        <x:v>Comprobante digital verificable</x:v>
      </x:c>
      <x:c r="C5" s="32" t="str">
        <x:v>BOLT-007 / BOLT-008</x:v>
      </x:c>
      <x:c r="D5" s="32" t="str">
        <x:v>PDF y entrega de comprobante</x:v>
      </x:c>
      <x:c r="E5" s="32" t="str">
        <x:v>Definido</x:v>
      </x:c>
      <x:c r="F5" s="33" t="str">
        <x:v>Genera PDF con serie única y QR; registra entrega.</x:v>
      </x:c>
    </x:row>
    <x:row r="6" ht="24" hidden="0" customHeight="1">
      <x:c r="A6" s="31" t="str">
        <x:v>PMV-05</x:v>
      </x:c>
      <x:c r="B6" s="32" t="str">
        <x:v>Reporte y rendición mensual</x:v>
      </x:c>
      <x:c r="C6" s="32" t="str">
        <x:v>BOLT-009 / BOLT-010</x:v>
      </x:c>
      <x:c r="D6" s="32" t="str">
        <x:v>Reportes</x:v>
      </x:c>
      <x:c r="E6" s="32" t="str">
        <x:v>Definido</x:v>
      </x:c>
      <x:c r="F6" s="33" t="str">
        <x:v>Consolida balance, ingresos, egresos y deudas para revisión.</x:v>
      </x:c>
    </x:row>
    <x:row r="7" ht="24" hidden="0" customHeight="1">
      <x:c r="A7" s="31" t="str">
        <x:v>PMV-06</x:v>
      </x:c>
      <x:c r="B7" s="32" t="str">
        <x:v>Administración financiera básica</x:v>
      </x:c>
      <x:c r="C7" s="32" t="str">
        <x:v>BOLT-011 / BOLT-012</x:v>
      </x:c>
      <x:c r="D7" s="32" t="str">
        <x:v>Multas, tarifas y egresos</x:v>
      </x:c>
      <x:c r="E7" s="32" t="str">
        <x:v>Definido</x:v>
      </x:c>
      <x:c r="F7" s="33" t="str">
        <x:v>Administra parámetros y gastos que impactan el balance.</x:v>
      </x:c>
    </x:row>
    <x:row r="8" ht="24" hidden="0" customHeight="1">
      <x:c r="A8" s="31" t="str">
        <x:v>PMV-07</x:v>
      </x:c>
      <x:c r="B8" s="32" t="str">
        <x:v>Calidad y pruebas automatizadas</x:v>
      </x:c>
      <x:c r="C8" s="32" t="str">
        <x:v>BOLT-013 / BOLT-014 / BOLT-015 / BOLT-016</x:v>
      </x:c>
      <x:c r="D8" s="32" t="str">
        <x:v>QA</x:v>
      </x:c>
      <x:c r="E8" s="32" t="str">
        <x:v>Planificado</x:v>
      </x:c>
      <x:c r="F8" s="33" t="str">
        <x:v>Cubre PHPUnit, Postman/Newman, Cypress y k6.</x:v>
      </x:c>
    </x:row>
    <x:row r="9" ht="24" hidden="0" customHeight="1">
      <x:c r="A9" s="31" t="str">
        <x:v>PMV-08</x:v>
      </x:c>
      <x:c r="B9" s="32" t="str">
        <x:v>Compatibilidad de interfaz</x:v>
      </x:c>
      <x:c r="C9" s="32" t="str">
        <x:v>BOLT-014</x:v>
      </x:c>
      <x:c r="D9" s="32" t="str">
        <x:v>Frontend responsive</x:v>
      </x:c>
      <x:c r="E9" s="32" t="str">
        <x:v>Planificado</x:v>
      </x:c>
      <x:c r="F9" s="33" t="str">
        <x:v>Verificación en Chrome, Firefox y Edge.</x:v>
      </x:c>
    </x:row>
    <x:row r="10" ht="24" hidden="0" customHeight="1">
      <x:c r="A10" s="34" t="str">
        <x:v>PMV-09</x:v>
      </x:c>
      <x:c r="B10" s="35" t="str">
        <x:v>Infraestructura y respaldo</x:v>
      </x:c>
      <x:c r="C10" s="35" t="str">
        <x:v>BOLT-017</x:v>
      </x:c>
      <x:c r="D10" s="35" t="str">
        <x:v>Docker, MariaDB, despliegue</x:v>
      </x:c>
      <x:c r="E10" s="35" t="str">
        <x:v>Planificado</x:v>
      </x:c>
      <x:c r="F10" s="36" t="str">
        <x:v>Soporta entorno reproducible, respaldo y recuperación.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sqref="E2:E10">
      <x:formula1>"Definido,Diseñado,En desarrollo,Planificado,Pendiente,Activo,Completado,Rechazado,En revisión"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81adbde1514694"/>
  </x:tableParts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26" hidden="0" customWidth="1"/>
    <x:col min="2" max="2" width="38" hidden="0" customWidth="1"/>
    <x:col min="3" max="3" width="52" hidden="0" customWidth="1"/>
    <x:col min="4" max="26" width="8.710000038146973" customWidth="1"/>
  </x:cols>
  <x:sheetData>
    <x:row r="1">
      <x:c r="A1" s="19" t="str">
        <x:v>INDICADOR</x:v>
      </x:c>
      <x:c r="B1" s="20" t="str">
        <x:v>VALOR</x:v>
      </x:c>
      <x:c r="C1" s="21" t="str">
        <x:v>OBSERVACION</x:v>
      </x:c>
    </x:row>
    <x:row r="2">
      <x:c r="A2" s="40" t="str">
        <x:v>Total Bolts</x:v>
      </x:c>
      <x:c r="B2" s="42" t="n">
        <x:f>COUNTA(ACTIVIDADES_BPMN!A2:A200)</x:f>
        <x:v>18</x:v>
      </x:c>
      <x:c r="C2" s="41" t="str">
        <x:v>Total de actividades/BOLTs registrados.</x:v>
      </x:c>
    </x:row>
    <x:row r="3">
      <x:c r="A3" s="40" t="str">
        <x:v>Actividades funcionales RF-01 a RF-12</x:v>
      </x:c>
      <x:c r="B3" s="42" t="n">
        <x:f>COUNTA(ACTIVIDADES_BPMN!A2:A13)</x:f>
        <x:v>12</x:v>
      </x:c>
      <x:c r="C3" s="41" t="str">
        <x:v>Actividades BPMN asociadas directamente a RF-01 hasta RF-12.</x:v>
      </x:c>
    </x:row>
    <x:row r="4">
      <x:c r="A4" s="40" t="str">
        <x:v>Requerimientos funcionales</x:v>
      </x:c>
      <x:c r="B4" s="42" t="n">
        <x:f>COUNTIF(REQUERIMIENTOS!B2:B200,"RF")</x:f>
        <x:v>12</x:v>
      </x:c>
      <x:c r="C4" s="41" t="str">
        <x:v>RF-01 a RF-12 documentados.</x:v>
      </x:c>
    </x:row>
    <x:row r="5">
      <x:c r="A5" s="40" t="str">
        <x:v>Requerimientos no funcionales</x:v>
      </x:c>
      <x:c r="B5" s="42" t="n">
        <x:f>COUNTIF(REQUERIMIENTOS!B2:B200,"RNF")</x:f>
        <x:v>12</x:v>
      </x:c>
      <x:c r="C5" s="41" t="str">
        <x:v>RNF-01 a RNF-12 documentados.</x:v>
      </x:c>
    </x:row>
    <x:row r="6">
      <x:c r="A6" s="40" t="str">
        <x:v>Procesos estratégicos</x:v>
      </x:c>
      <x:c r="B6" s="42" t="n">
        <x:f>COUNTIF(PROCESOS!B2:B200,"Estratégico")</x:f>
        <x:v>1</x:v>
      </x:c>
      <x:c r="C6" s="41" t="str">
        <x:v>Gestión del proyecto y calidad.</x:v>
      </x:c>
    </x:row>
    <x:row r="7">
      <x:c r="A7" s="40" t="str">
        <x:v>Procesos misionales</x:v>
      </x:c>
      <x:c r="B7" s="42" t="n">
        <x:f>COUNTIF(PROCESOS!B2:B200,"Misional")</x:f>
        <x:v>3</x:v>
      </x:c>
      <x:c r="C7" s="41" t="str">
        <x:v>Cobro, padrón y reportes.</x:v>
      </x:c>
    </x:row>
    <x:row r="8">
      <x:c r="A8" s="22" t="str">
        <x:v>Procesos de apoyo</x:v>
      </x:c>
      <x:c r="B8" s="42" t="n">
        <x:f>COUNTIF(PROCESOS!B2:B200,"Apoyo")</x:f>
        <x:v>5</x:v>
      </x:c>
      <x:c r="C8" s="24" t="str">
        <x:v>Seguridad, multas, egresos, QA y DevOps.</x:v>
      </x:c>
    </x:row>
    <x:row r="9">
      <x:c r="A9" s="22" t="str">
        <x:v>Módulos PMV</x:v>
      </x:c>
      <x:c r="B9" s="42" t="n">
        <x:f>COUNTA(PMV!A2:A200)</x:f>
        <x:v>9</x:v>
      </x:c>
      <x:c r="C9" s="24" t="str">
        <x:v>Paquetes mínimos viables definidos.</x:v>
      </x:c>
    </x:row>
    <x:row r="10">
      <x:c r="A10" s="22" t="str">
        <x:v>Artefactos registrados</x:v>
      </x:c>
      <x:c r="B10" s="42" t="n">
        <x:f>COUNTA(ARTEFACTOS!A2:A200)</x:f>
        <x:v>9</x:v>
      </x:c>
      <x:c r="C10" s="24" t="str">
        <x:v>Documentos, repositorio y archivo final.</x:v>
      </x:c>
    </x:row>
    <x:row r="11">
      <x:c r="A11" s="22" t="str">
        <x:v>Repositorio</x:v>
      </x:c>
      <x:c r="B11" s="23" t="str">
        <x:v>https://github.com/PK-251/JASS-Ayacucho.git</x:v>
      </x:c>
      <x:c r="C11" s="24" t="str">
        <x:v>Enlace proporcionado por el usuario; no se extrajo información externa.</x:v>
      </x:c>
    </x:row>
    <x:row r="12">
      <x:c r="A12" s="22" t="str">
        <x:v>Fecha base documental</x:v>
      </x:c>
      <x:c r="B12" s="23" t="str">
        <x:v>03/04/2026</x:v>
      </x:c>
      <x:c r="C12" s="24" t="str">
        <x:v>Fecha indicada en planes de prueba del proyecto.</x:v>
      </x:c>
    </x:row>
    <x:row r="13">
      <x:c r="A13" s="25" t="str">
        <x:v>Archivo final</x:v>
      </x:c>
      <x:c r="B13" s="26" t="str">
        <x:v>/mnt/data/Matriz_doble_entrada_JASS_QUILCATA_rellenada.xlsx</x:v>
      </x:c>
      <x:c r="C13" s="27" t="str">
        <x:v>Matriz rellenada en formato Excel.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36" customHeight="1">
      <x:c r="A1" s="28" t="str">
        <x:v>CÓDIGO</x:v>
      </x:c>
      <x:c r="B1" s="29" t="str">
        <x:v>CRITERIO / VARIABLE</x:v>
      </x:c>
      <x:c r="C1" s="29" t="str">
        <x:v>Informe</x:v>
      </x:c>
      <x:c r="D1" s="29" t="str">
        <x:v>Plan pruebas</x:v>
      </x:c>
      <x:c r="E1" s="29" t="str">
        <x:v>Plan detallado ISO</x:v>
      </x:c>
      <x:c r="F1" s="29" t="str">
        <x:v>Presentación</x:v>
      </x:c>
      <x:c r="G1" s="29" t="str">
        <x:v>Estado arte V0</x:v>
      </x:c>
      <x:c r="H1" s="29" t="str">
        <x:v>Estado arte V1</x:v>
      </x:c>
      <x:c r="I1" s="29" t="str">
        <x:v>Pruebas manuales</x:v>
      </x:c>
      <x:c r="J1" s="29" t="str">
        <x:v>Repositorio</x:v>
      </x:c>
      <x:c r="K1" s="30" t="str">
        <x:v>OBSERVACIÓN</x:v>
      </x:c>
    </x:row>
    <x:row r="2">
      <x:c r="A2" s="31" t="str">
        <x:v>Contexto</x:v>
      </x:c>
      <x:c r="B2" s="32" t="str">
        <x:v>Organización J.A.S.S. QUILCATA, Sara-Sara, Lucanas, Ayacucho</x:v>
      </x:c>
      <x:c r="C2" s="32" t="str">
        <x:v>Sí</x:v>
      </x:c>
      <x:c r="D2" s="32" t="str">
        <x:v>Sí</x:v>
      </x:c>
      <x:c r="E2" s="32" t="str">
        <x:v>Sí</x:v>
      </x:c>
      <x:c r="F2" s="32" t="str">
        <x:v>Sí</x:v>
      </x:c>
      <x:c r="G2" s="32" t="str">
        <x:v>No</x:v>
      </x:c>
      <x:c r="H2" s="32" t="str">
        <x:v>No</x:v>
      </x:c>
      <x:c r="I2" s="32" t="str">
        <x:v>No</x:v>
      </x:c>
      <x:c r="J2" s="32" t="str">
        <x:v>Sí</x:v>
      </x:c>
      <x:c r="K2" s="33" t="str">
        <x:v>Contexto principal del proyecto y repositorio asociado.</x:v>
      </x:c>
    </x:row>
    <x:row r="3">
      <x:c r="A3" s="31" t="str">
        <x:v>Problema</x:v>
      </x:c>
      <x:c r="B3" s="32" t="str">
        <x:v>Proceso manual con talonarios, cuadernos y Excel</x:v>
      </x:c>
      <x:c r="C3" s="32" t="str">
        <x:v>Sí</x:v>
      </x:c>
      <x:c r="D3" s="32" t="str">
        <x:v>Sí</x:v>
      </x:c>
      <x:c r="E3" s="32" t="str">
        <x:v>Sí</x:v>
      </x:c>
      <x:c r="F3" s="32" t="str">
        <x:v>Sí</x:v>
      </x:c>
      <x:c r="G3" s="32" t="str">
        <x:v>Sí</x:v>
      </x:c>
      <x:c r="H3" s="32" t="str">
        <x:v>Sí</x:v>
      </x:c>
      <x:c r="I3" s="32" t="str">
        <x:v>No</x:v>
      </x:c>
      <x:c r="J3" s="32" t="str">
        <x:v>No</x:v>
      </x:c>
      <x:c r="K3" s="33" t="str">
        <x:v>Problema crítico documentado en informe y reforzado en estado del arte.</x:v>
      </x:c>
    </x:row>
    <x:row r="4">
      <x:c r="A4" s="31" t="str">
        <x:v>AS-IS</x:v>
      </x:c>
      <x:c r="B4" s="32" t="str">
        <x:v>Cobro manual, búsqueda en cuaderno, cálculo a mano, transcripción a Excel</x:v>
      </x:c>
      <x:c r="C4" s="32" t="str">
        <x:v>Sí</x:v>
      </x:c>
      <x:c r="D4" s="32" t="str">
        <x:v>No</x:v>
      </x:c>
      <x:c r="E4" s="32" t="str">
        <x:v>No</x:v>
      </x:c>
      <x:c r="F4" s="32" t="str">
        <x:v>Sí</x:v>
      </x:c>
      <x:c r="G4" s="32" t="str">
        <x:v>No</x:v>
      </x:c>
      <x:c r="H4" s="32" t="str">
        <x:v>No</x:v>
      </x:c>
      <x:c r="I4" s="32" t="str">
        <x:v>No</x:v>
      </x:c>
      <x:c r="J4" s="32" t="str">
        <x:v>No</x:v>
      </x:c>
      <x:c r="K4" s="33" t="str">
        <x:v>Base para el rediseño TO-BE.</x:v>
      </x:c>
    </x:row>
    <x:row r="5">
      <x:c r="A5" s="31" t="str">
        <x:v>TO-BE</x:v>
      </x:c>
      <x:c r="B5" s="32" t="str">
        <x:v>Sistema web con cálculo, registro, PDF y reportes automáticos</x:v>
      </x:c>
      <x:c r="C5" s="32" t="str">
        <x:v>Sí</x:v>
      </x:c>
      <x:c r="D5" s="32" t="str">
        <x:v>Sí</x:v>
      </x:c>
      <x:c r="E5" s="32" t="str">
        <x:v>Sí</x:v>
      </x:c>
      <x:c r="F5" s="32" t="str">
        <x:v>Sí</x:v>
      </x:c>
      <x:c r="G5" s="32" t="str">
        <x:v>Sí</x:v>
      </x:c>
      <x:c r="H5" s="32" t="str">
        <x:v>Sí</x:v>
      </x:c>
      <x:c r="I5" s="32" t="str">
        <x:v>No</x:v>
      </x:c>
      <x:c r="J5" s="32" t="str">
        <x:v>No</x:v>
      </x:c>
      <x:c r="K5" s="33" t="str">
        <x:v>Solución propuesta del sistema.</x:v>
      </x:c>
    </x:row>
    <x:row r="6">
      <x:c r="A6" s="31" t="str">
        <x:v>RF-01</x:v>
      </x:c>
      <x:c r="B6" s="32" t="str">
        <x:v>Autenticación y control de acceso</x:v>
      </x:c>
      <x:c r="C6" s="32" t="str">
        <x:v>Sí</x:v>
      </x:c>
      <x:c r="D6" s="32" t="str">
        <x:v>Sí</x:v>
      </x:c>
      <x:c r="E6" s="32" t="str">
        <x:v>Sí</x:v>
      </x:c>
      <x:c r="F6" s="32" t="str">
        <x:v>Sí</x:v>
      </x:c>
      <x:c r="G6" s="32" t="str">
        <x:v>No</x:v>
      </x:c>
      <x:c r="H6" s="32" t="str">
        <x:v>No</x:v>
      </x:c>
      <x:c r="I6" s="32" t="str">
        <x:v>Sí</x:v>
      </x:c>
      <x:c r="J6" s="32" t="str">
        <x:v>No</x:v>
      </x:c>
      <x:c r="K6" s="33" t="str">
        <x:v>Módulo de seguridad base.</x:v>
      </x:c>
    </x:row>
    <x:row r="7">
      <x:c r="A7" s="31" t="str">
        <x:v>RF-02</x:v>
      </x:c>
      <x:c r="B7" s="32" t="str">
        <x:v>Carga automática de lista de usuarios con deuda</x:v>
      </x:c>
      <x:c r="C7" s="32" t="str">
        <x:v>Sí</x:v>
      </x:c>
      <x:c r="D7" s="32" t="str">
        <x:v>Sí</x:v>
      </x:c>
      <x:c r="E7" s="32" t="str">
        <x:v>Sí</x:v>
      </x:c>
      <x:c r="F7" s="32" t="str">
        <x:v>Sí</x:v>
      </x:c>
      <x:c r="G7" s="32" t="str">
        <x:v>No</x:v>
      </x:c>
      <x:c r="H7" s="32" t="str">
        <x:v>No</x:v>
      </x:c>
      <x:c r="I7" s="32" t="str">
        <x:v>Sí</x:v>
      </x:c>
      <x:c r="J7" s="32" t="str">
        <x:v>No</x:v>
      </x:c>
      <x:c r="K7" s="33" t="str">
        <x:v>Módulo de padrón y deuda.</x:v>
      </x:c>
    </x:row>
    <x:row r="8">
      <x:c r="A8" s="31" t="str">
        <x:v>RF-03</x:v>
      </x:c>
      <x:c r="B8" s="32" t="str">
        <x:v>Búsqueda digital de usuario</x:v>
      </x:c>
      <x:c r="C8" s="32" t="str">
        <x:v>Sí</x:v>
      </x:c>
      <x:c r="D8" s="32" t="str">
        <x:v>Sí</x:v>
      </x:c>
      <x:c r="E8" s="32" t="str">
        <x:v>Sí</x:v>
      </x:c>
      <x:c r="F8" s="32" t="str">
        <x:v>Sí</x:v>
      </x:c>
      <x:c r="G8" s="32" t="str">
        <x:v>No</x:v>
      </x:c>
      <x:c r="H8" s="32" t="str">
        <x:v>No</x:v>
      </x:c>
      <x:c r="I8" s="32" t="str">
        <x:v>Sí</x:v>
      </x:c>
      <x:c r="J8" s="32" t="str">
        <x:v>No</x:v>
      </x:c>
      <x:c r="K8" s="33" t="str">
        <x:v>Reemplaza búsqueda manual lenta.</x:v>
      </x:c>
    </x:row>
    <x:row r="9">
      <x:c r="A9" s="31" t="str">
        <x:v>RF-04</x:v>
      </x:c>
      <x:c r="B9" s="32" t="str">
        <x:v>Cálculo automático del monto a cobrar</x:v>
      </x:c>
      <x:c r="C9" s="32" t="str">
        <x:v>Sí</x:v>
      </x:c>
      <x:c r="D9" s="32" t="str">
        <x:v>Sí</x:v>
      </x:c>
      <x:c r="E9" s="32" t="str">
        <x:v>Sí</x:v>
      </x:c>
      <x:c r="F9" s="32" t="str">
        <x:v>Sí</x:v>
      </x:c>
      <x:c r="G9" s="32" t="str">
        <x:v>No</x:v>
      </x:c>
      <x:c r="H9" s="32" t="str">
        <x:v>No</x:v>
      </x:c>
      <x:c r="I9" s="32" t="str">
        <x:v>Sí</x:v>
      </x:c>
      <x:c r="J9" s="32" t="str">
        <x:v>No</x:v>
      </x:c>
      <x:c r="K9" s="33" t="str">
        <x:v>Elimina errores aritméticos.</x:v>
      </x:c>
    </x:row>
    <x:row r="10">
      <x:c r="A10" s="31" t="str">
        <x:v>RF-05</x:v>
      </x:c>
      <x:c r="B10" s="32" t="str">
        <x:v>Registro digital del pago</x:v>
      </x:c>
      <x:c r="C10" s="32" t="str">
        <x:v>Sí</x:v>
      </x:c>
      <x:c r="D10" s="32" t="str">
        <x:v>Sí</x:v>
      </x:c>
      <x:c r="E10" s="32" t="str">
        <x:v>Sí</x:v>
      </x:c>
      <x:c r="F10" s="32" t="str">
        <x:v>Sí</x:v>
      </x:c>
      <x:c r="G10" s="32" t="str">
        <x:v>No</x:v>
      </x:c>
      <x:c r="H10" s="32" t="str">
        <x:v>No</x:v>
      </x:c>
      <x:c r="I10" s="32" t="str">
        <x:v>Sí</x:v>
      </x:c>
      <x:c r="J10" s="32" t="str">
        <x:v>No</x:v>
      </x:c>
      <x:c r="K10" s="33" t="str">
        <x:v>Trazabilidad y transacción en BD.</x:v>
      </x:c>
    </x:row>
    <x:row r="11">
      <x:c r="A11" s="31" t="str">
        <x:v>RF-06</x:v>
      </x:c>
      <x:c r="B11" s="32" t="str">
        <x:v>Registro automático de pendientes</x:v>
      </x:c>
      <x:c r="C11" s="32" t="str">
        <x:v>Sí</x:v>
      </x:c>
      <x:c r="D11" s="32" t="str">
        <x:v>Sí</x:v>
      </x:c>
      <x:c r="E11" s="32" t="str">
        <x:v>Sí</x:v>
      </x:c>
      <x:c r="F11" s="32" t="str">
        <x:v>No</x:v>
      </x:c>
      <x:c r="G11" s="32" t="str">
        <x:v>No</x:v>
      </x:c>
      <x:c r="H11" s="32" t="str">
        <x:v>No</x:v>
      </x:c>
      <x:c r="I11" s="32" t="str">
        <x:v>Sí</x:v>
      </x:c>
      <x:c r="J11" s="32" t="str">
        <x:v>No</x:v>
      </x:c>
      <x:c r="K11" s="33" t="str">
        <x:v>Control de morosidad.</x:v>
      </x:c>
    </x:row>
    <x:row r="12">
      <x:c r="A12" s="31" t="str">
        <x:v>RF-07</x:v>
      </x:c>
      <x:c r="B12" s="32" t="str">
        <x:v>Generación de comprobante PDF</x:v>
      </x:c>
      <x:c r="C12" s="32" t="str">
        <x:v>Sí</x:v>
      </x:c>
      <x:c r="D12" s="32" t="str">
        <x:v>Sí</x:v>
      </x:c>
      <x:c r="E12" s="32" t="str">
        <x:v>Sí</x:v>
      </x:c>
      <x:c r="F12" s="32" t="str">
        <x:v>Sí</x:v>
      </x:c>
      <x:c r="G12" s="32" t="str">
        <x:v>No</x:v>
      </x:c>
      <x:c r="H12" s="32" t="str">
        <x:v>No</x:v>
      </x:c>
      <x:c r="I12" s="32" t="str">
        <x:v>Sí</x:v>
      </x:c>
      <x:c r="J12" s="32" t="str">
        <x:v>No</x:v>
      </x:c>
      <x:c r="K12" s="33" t="str">
        <x:v>Comprobante con serie y QR.</x:v>
      </x:c>
    </x:row>
    <x:row r="13">
      <x:c r="A13" s="31" t="str">
        <x:v>RF-08</x:v>
      </x:c>
      <x:c r="B13" s="32" t="str">
        <x:v>Entrega de comprobante al usuario</x:v>
      </x:c>
      <x:c r="C13" s="32" t="str">
        <x:v>Sí</x:v>
      </x:c>
      <x:c r="D13" s="32" t="str">
        <x:v>Sí</x:v>
      </x:c>
      <x:c r="E13" s="32" t="str">
        <x:v>Sí</x:v>
      </x:c>
      <x:c r="F13" s="32" t="str">
        <x:v>No</x:v>
      </x:c>
      <x:c r="G13" s="32" t="str">
        <x:v>No</x:v>
      </x:c>
      <x:c r="H13" s="32" t="str">
        <x:v>No</x:v>
      </x:c>
      <x:c r="I13" s="32" t="str">
        <x:v>Sí</x:v>
      </x:c>
      <x:c r="J13" s="32" t="str">
        <x:v>No</x:v>
      </x:c>
      <x:c r="K13" s="33" t="str">
        <x:v>Entrega impresa/digital.</x:v>
      </x:c>
    </x:row>
    <x:row r="14">
      <x:c r="A14" s="31" t="str">
        <x:v>RF-09</x:v>
      </x:c>
      <x:c r="B14" s="32" t="str">
        <x:v>Reporte mensual automático</x:v>
      </x:c>
      <x:c r="C14" s="32" t="str">
        <x:v>Sí</x:v>
      </x:c>
      <x:c r="D14" s="32" t="str">
        <x:v>Sí</x:v>
      </x:c>
      <x:c r="E14" s="32" t="str">
        <x:v>Sí</x:v>
      </x:c>
      <x:c r="F14" s="32" t="str">
        <x:v>Sí</x:v>
      </x:c>
      <x:c r="G14" s="32" t="str">
        <x:v>No</x:v>
      </x:c>
      <x:c r="H14" s="32" t="str">
        <x:v>No</x:v>
      </x:c>
      <x:c r="I14" s="32" t="str">
        <x:v>Sí</x:v>
      </x:c>
      <x:c r="J14" s="32" t="str">
        <x:v>No</x:v>
      </x:c>
      <x:c r="K14" s="33" t="str">
        <x:v>Rendición mensual.</x:v>
      </x:c>
    </x:row>
    <x:row r="15">
      <x:c r="A15" s="31" t="str">
        <x:v>RF-10</x:v>
      </x:c>
      <x:c r="B15" s="32" t="str">
        <x:v>Validación del reporte y rendición</x:v>
      </x:c>
      <x:c r="C15" s="32" t="str">
        <x:v>Sí</x:v>
      </x:c>
      <x:c r="D15" s="32" t="str">
        <x:v>Sí</x:v>
      </x:c>
      <x:c r="E15" s="32" t="str">
        <x:v>Sí</x:v>
      </x:c>
      <x:c r="F15" s="32" t="str">
        <x:v>Sí</x:v>
      </x:c>
      <x:c r="G15" s="32" t="str">
        <x:v>No</x:v>
      </x:c>
      <x:c r="H15" s="32" t="str">
        <x:v>No</x:v>
      </x:c>
      <x:c r="I15" s="32" t="str">
        <x:v>Sí</x:v>
      </x:c>
      <x:c r="J15" s="32" t="str">
        <x:v>No</x:v>
      </x:c>
      <x:c r="K15" s="33" t="str">
        <x:v>Aprobación del reporte oficial.</x:v>
      </x:c>
    </x:row>
    <x:row r="16">
      <x:c r="A16" s="31" t="str">
        <x:v>RF-11</x:v>
      </x:c>
      <x:c r="B16" s="32" t="str">
        <x:v>Gestión de multas y tarifas</x:v>
      </x:c>
      <x:c r="C16" s="32" t="str">
        <x:v>Sí</x:v>
      </x:c>
      <x:c r="D16" s="32" t="str">
        <x:v>Sí</x:v>
      </x:c>
      <x:c r="E16" s="32" t="str">
        <x:v>Sí</x:v>
      </x:c>
      <x:c r="F16" s="32" t="str">
        <x:v>Sí</x:v>
      </x:c>
      <x:c r="G16" s="32" t="str">
        <x:v>No</x:v>
      </x:c>
      <x:c r="H16" s="32" t="str">
        <x:v>No</x:v>
      </x:c>
      <x:c r="I16" s="32" t="str">
        <x:v>Sí</x:v>
      </x:c>
      <x:c r="J16" s="32" t="str">
        <x:v>No</x:v>
      </x:c>
      <x:c r="K16" s="33" t="str">
        <x:v>Parámetros de cobro.</x:v>
      </x:c>
    </x:row>
    <x:row r="17">
      <x:c r="A17" s="31" t="str">
        <x:v>RF-12</x:v>
      </x:c>
      <x:c r="B17" s="32" t="str">
        <x:v>Gestión de egresos</x:v>
      </x:c>
      <x:c r="C17" s="32" t="str">
        <x:v>Sí</x:v>
      </x:c>
      <x:c r="D17" s="32" t="str">
        <x:v>Sí</x:v>
      </x:c>
      <x:c r="E17" s="32" t="str">
        <x:v>Sí</x:v>
      </x:c>
      <x:c r="F17" s="32" t="str">
        <x:v>Sí</x:v>
      </x:c>
      <x:c r="G17" s="32" t="str">
        <x:v>No</x:v>
      </x:c>
      <x:c r="H17" s="32" t="str">
        <x:v>No</x:v>
      </x:c>
      <x:c r="I17" s="32" t="str">
        <x:v>Sí</x:v>
      </x:c>
      <x:c r="J17" s="32" t="str">
        <x:v>No</x:v>
      </x:c>
      <x:c r="K17" s="33" t="str">
        <x:v>Gastos operativos.</x:v>
      </x:c>
    </x:row>
    <x:row r="18">
      <x:c r="A18" s="31" t="str">
        <x:v>RNF</x:v>
      </x:c>
      <x:c r="B18" s="32" t="str">
        <x:v>Rendimiento, seguridad, usabilidad, disponibilidad, confiabilidad y mantenibilidad</x:v>
      </x:c>
      <x:c r="C18" s="32" t="str">
        <x:v>Sí</x:v>
      </x:c>
      <x:c r="D18" s="32" t="str">
        <x:v>Sí</x:v>
      </x:c>
      <x:c r="E18" s="32" t="str">
        <x:v>Sí</x:v>
      </x:c>
      <x:c r="F18" s="32" t="str">
        <x:v>Sí</x:v>
      </x:c>
      <x:c r="G18" s="32" t="str">
        <x:v>No</x:v>
      </x:c>
      <x:c r="H18" s="32" t="str">
        <x:v>No</x:v>
      </x:c>
      <x:c r="I18" s="32" t="str">
        <x:v>Sí</x:v>
      </x:c>
      <x:c r="J18" s="32" t="str">
        <x:v>No</x:v>
      </x:c>
      <x:c r="K18" s="33" t="str">
        <x:v>Criterios de calidad y aceptación.</x:v>
      </x:c>
    </x:row>
    <x:row r="19">
      <x:c r="A19" s="31" t="str">
        <x:v>QA</x:v>
      </x:c>
      <x:c r="B19" s="32" t="str">
        <x:v>PHPUnit, Cypress, Postman/Newman, k6</x:v>
      </x:c>
      <x:c r="C19" s="32" t="str">
        <x:v>Sí</x:v>
      </x:c>
      <x:c r="D19" s="32" t="str">
        <x:v>Sí</x:v>
      </x:c>
      <x:c r="E19" s="32" t="str">
        <x:v>Sí</x:v>
      </x:c>
      <x:c r="F19" s="32" t="str">
        <x:v>Sí</x:v>
      </x:c>
      <x:c r="G19" s="32" t="str">
        <x:v>Sí</x:v>
      </x:c>
      <x:c r="H19" s="32" t="str">
        <x:v>No</x:v>
      </x:c>
      <x:c r="I19" s="32" t="str">
        <x:v>Sí</x:v>
      </x:c>
      <x:c r="J19" s="32" t="str">
        <x:v>No</x:v>
      </x:c>
      <x:c r="K19" s="33" t="str">
        <x:v>Estrategia de pruebas automatizadas.</x:v>
      </x:c>
    </x:row>
    <x:row r="20">
      <x:c r="A20" s="34" t="str">
        <x:v>Stack</x:v>
      </x:c>
      <x:c r="B20" s="35" t="str">
        <x:v>Laravel, MariaDB, Bootstrap, DomPDF, REST API, Docker</x:v>
      </x:c>
      <x:c r="C20" s="35" t="str">
        <x:v>Sí</x:v>
      </x:c>
      <x:c r="D20" s="35" t="str">
        <x:v>Sí</x:v>
      </x:c>
      <x:c r="E20" s="35" t="str">
        <x:v>Sí</x:v>
      </x:c>
      <x:c r="F20" s="35" t="str">
        <x:v>Sí</x:v>
      </x:c>
      <x:c r="G20" s="35" t="str">
        <x:v>Sí</x:v>
      </x:c>
      <x:c r="H20" s="35" t="str">
        <x:v>No</x:v>
      </x:c>
      <x:c r="I20" s="35" t="str">
        <x:v>No</x:v>
      </x:c>
      <x:c r="J20" s="35" t="str">
        <x:v>Sí</x:v>
      </x:c>
      <x:c r="K20" s="36" t="str">
        <x:v>Stack técnico y repositorio del proyecto.</x:v>
      </x:c>
    </x:row>
  </x:sheetData>
  <x:conditionalFormatting sqref="C2:J200">
    <x:cfRule type="expression" dxfId="0" priority="1">
      <x:formula>C2="Sí"</x:formula>
    </x:cfRule>
    <x:cfRule type="expression" dxfId="1" priority="2">
      <x:formula>C2="No"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73fc0de95e43d8"/>
  </x:tableParts>
</x:worksheet>
</file>